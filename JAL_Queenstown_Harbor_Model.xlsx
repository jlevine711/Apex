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 fullCalcOnLoad="1"/>
</workbook>
</file>

<file path=xl/sharedStrings.xml><?xml version="1.0" encoding="utf-8"?>
<sst xmlns="http://schemas.openxmlformats.org/spreadsheetml/2006/main" count="258" uniqueCount="229">
  <si>
    <t>Queenstown Harbor — Finished-Lot Development Model</t>
  </si>
  <si>
    <t>JV funds the horizontal (roads, sewer, utilities); homebuilders just build the homes.  ·  Dynamic — every cell below is a live formula off INPUTS.  ·  ILLUSTRATIVE.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</si>
  <si>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</si>
  <si>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</si>
  <si>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</si>
  <si>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</si>
  <si>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</si>
  <si>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</si>
  <si>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</si>
  <si>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</si>
  <si>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</si>
  <si>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</si>
  <si>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</si>
  <si>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</si>
  <si>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</si>
  <si>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</si>
  <si>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</si>
  <si>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</si>
  <si>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</si>
  <si>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</si>
  <si>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</si>
  <si>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</si>
  <si>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</si>
  <si>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</si>
  <si>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</si>
  <si>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</si>
  <si>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</si>
  <si>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</si>
  <si>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(60%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</si>
  <si>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</si>
  <si>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</si>
  <si>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</si>
  <si>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</si>
  <si>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</si>
  <si>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</si>
  <si>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</si>
  <si>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</si>
  <si>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</si>
  <si>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</si>
  <si>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</si>
  <si>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</si>
  <si>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</si>
  <si>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</si>
  <si>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</si>
  <si>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</si>
  <si>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</si>
  <si>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</si>
  <si>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</si>
  <si>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</si>
  <si>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</si>
  <si>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</si>
  <si>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</si>
  <si>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</si>
  <si>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</si>
  <si>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</si>
  <si>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</si>
  <si>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</si>
  <si>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(contributed)</t>
  </si>
  <si>
    <t>contributed land</t>
  </si>
  <si>
    <t>Cash equity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</si>
  <si>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</si>
  <si>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</si>
  <si>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</si>
  <si>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</si>
  <si>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</si>
  <si>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</si>
  <si>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</si>
  <si>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</si>
  <si>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</si>
  <si>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</si>
  <si>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Distributable to equity (capital + profit)</t>
  </si>
  <si>
    <t>returned to equity over the hold</t>
  </si>
  <si>
    <t>Equity multiple</t>
  </si>
  <si>
    <t>distributable / equity, levered</t>
  </si>
  <si>
    <t>CASH-FLOW TIMING  (% by year — edit to re-phase; each row sums to 100%)</t>
  </si>
  <si>
    <t>$ by year</t>
  </si>
  <si>
    <t>Yr 0</t>
  </si>
  <si>
    <t>Yr 1</t>
  </si>
  <si>
    <t>Yr 2</t>
  </si>
  <si>
    <t>Yr 3</t>
  </si>
  <si>
    <t>Yr 4</t>
  </si>
  <si>
    <t>Revenue phasing (lot sales)</t>
  </si>
  <si>
    <t>Cost phasing (land/horizontal/soft)</t>
  </si>
  <si>
    <t>Equity-draw phasing</t>
  </si>
  <si>
    <t>Equity-distribution phasing</t>
  </si>
  <si>
    <t>UNLEVERED PROJECT CASH FLOW  (revenue × phasing − cost × phasing)</t>
  </si>
  <si>
    <t>Lot revenue</t>
  </si>
  <si>
    <t>Total cost</t>
  </si>
  <si>
    <t>Net project cash flow</t>
  </si>
  <si>
    <t>Project IRR (unlevered)</t>
  </si>
  <si>
    <t>lots sell Yr 2–4; land &amp; horizontal up front</t>
  </si>
  <si>
    <t>LEVERED EQUITY CASH FLOW  (60% LTC development loan)</t>
  </si>
  <si>
    <t>Equity drawn</t>
  </si>
  <si>
    <t>Equity distributions</t>
  </si>
  <si>
    <t>Project equity cash flow</t>
  </si>
  <si>
    <t>Project equity IRR (levered)</t>
  </si>
  <si>
    <t>equity ~$11.0M; unlevered project IRR ~24%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</si>
  <si>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</si>
  <si>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</si>
  <si>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</si>
  <si>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</si>
  <si>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</si>
  <si>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</si>
  <si>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sponsor group — Capital H6 / Bob / JAL + partners</t>
  </si>
  <si>
    <t>GP net profit (co-invest + promote)</t>
  </si>
  <si>
    <t>GP group total — JAL earns a share</t>
  </si>
  <si>
    <t>LP / GP split is solved by the model's promote engine (an IRR-hurdle waterfall isn't a closed-form cell formula); the IRR / profit cells above are live over those rows.</t>
  </si>
  <si>
    <t>LP IRR SENSITIVITY  (finished lot price  ×  LTC)</t>
  </si>
  <si>
    <t>Lot price  /  LTC</t>
  </si>
  <si>
    <t>$130K / lot</t>
  </si>
  <si>
    <t>$150K / lot</t>
  </si>
  <si>
    <t>$170K / lot</t>
  </si>
  <si>
    <t>LP IRR after the 8% pref + tiered promote. Base = $150K lot / 60% LTC (highlighted). Each cell re-runs the full waterfall engine.</t>
  </si>
  <si>
    <t>Illustrative and for discussion only. Figures compiled from public sources and independent research; subject to change and confirmation.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</si>
  <si>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</si>
  <si>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VIVÂMEE-led resort; JAL leads capital formation.  ·  Dynamic — every cell below is a live formula off INPUTS.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</si>
  <si>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</si>
  <si>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</si>
  <si>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</si>
  <si>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</si>
  <si>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</si>
  <si>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</si>
  <si>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</si>
  <si>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</si>
  <si>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</si>
  <si>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</si>
  <si>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</si>
  <si>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</si>
  <si>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</si>
  <si>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</si>
  <si>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</si>
  <si>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</si>
  <si>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</si>
  <si>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</si>
  <si>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</si>
  <si>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</si>
  <si>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</si>
  <si>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</si>
  <si>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 (hold case)</t>
  </si>
  <si>
    <t>hotel cap ~8% (2025)</t>
  </si>
  <si>
    <t>Construction loan (% of cost)</t>
  </si>
  <si>
    <t>Loan interest rate</t>
  </si>
  <si>
    <t>NOI growth / yr</t>
  </si>
  <si>
    <t>Equity drawn — Year 0 (balance Yr 1)</t>
  </si>
  <si>
    <t>construction equity timing</t>
  </si>
  <si>
    <t>First operating year ramp (hold)</t>
  </si>
  <si>
    <t>Yr 2 opens partway through</t>
  </si>
  <si>
    <t>HOTEL</t>
  </si>
  <si>
    <t>Hotel development cost</t>
  </si>
  <si>
    <t>keys × cost/key</t>
  </si>
  <si>
    <t>Room revenue</t>
  </si>
  <si>
    <t>keys × 365 × ADR × occ</t>
  </si>
  <si>
    <t>Total hotel revenue</t>
  </si>
  <si>
    <t>× revenue multiple</t>
  </si>
  <si>
    <t>Hotel NOI (stabilized)</t>
  </si>
  <si>
    <t>× NOI margin</t>
  </si>
  <si>
    <t>RESTAURANTS  (a suite of nice restaurants)</t>
  </si>
  <si>
    <t>Restaurant development cost</t>
  </si>
  <si>
    <t>SF × cost/SF</t>
  </si>
  <si>
    <t>Restaurant sales</t>
  </si>
  <si>
    <t>SF ×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</si>
  <si>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</si>
  <si>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</si>
  <si>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</si>
  <si>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</si>
  <si>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</si>
  <si>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</si>
  <si>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</si>
  <si>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</si>
  <si>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</si>
  <si>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</si>
  <si>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</si>
  <si>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− loan</t>
  </si>
  <si>
    <t>Stabilized levered cash flow</t>
  </si>
  <si>
    <t>NOI − loan interest</t>
  </si>
  <si>
    <t>Cash-on-cash (stabilized, levered)</t>
  </si>
  <si>
    <t>stabilized levered CF / equity</t>
  </si>
  <si>
    <t>EXIT  (hold case — sell at exit cap)</t>
  </si>
  <si>
    <t>Exit-year NOI (+3%/yr × 4)</t>
  </si>
  <si>
    <t>stabilized × growth</t>
  </si>
  <si>
    <t>Exit value (@ exit cap)</t>
  </si>
  <si>
    <t>exit-year NOI / cap</t>
  </si>
  <si>
    <t>Exit equity (value − loan)</t>
  </si>
  <si>
    <t>net of loan</t>
  </si>
  <si>
    <t>HOLD-CASE EQUITY CASH FLOW  (Yr 0–7, levered $) &amp; RETURNS</t>
  </si>
  <si>
    <t>Equity CF — Year 0</t>
  </si>
  <si>
    <t>Equity CF — Year 1</t>
  </si>
  <si>
    <t>Equity CF — Year 2</t>
  </si>
  <si>
    <t>Equity CF — Year 3</t>
  </si>
  <si>
    <t>Equity CF — Year 4</t>
  </si>
  <si>
    <t>Equity CF — Year 5</t>
  </si>
  <si>
    <t>Equity CF — Year 6</t>
  </si>
  <si>
    <t>Equity CF — Year 7</t>
  </si>
  <si>
    <t>Equity multiple (7-yr hold)</t>
  </si>
  <si>
    <t>distributions / equity</t>
  </si>
  <si>
    <t>Project IRR (levered, 7-yr hold)</t>
  </si>
  <si>
    <t>income / hold — develops to ~cost</t>
  </si>
  <si>
    <t>BUILD-TO-CORE CASE  (recap / sell at stabilization — path to mid–high 20s IRR)</t>
  </si>
  <si>
    <t>NOI uplift — premium execution</t>
  </si>
  <si>
    <t>VIVÂMEE experiential: ADR ~$275, occ ~63%, strong F&amp;B / events</t>
  </si>
  <si>
    <t>Premium stabilized NOI</t>
  </si>
  <si>
    <t>base NOI × (1 + uplift)</t>
  </si>
  <si>
    <t>Exit cap (build-to-core)</t>
  </si>
  <si>
    <t>trophy / experiential resort</t>
  </si>
  <si>
    <t>Leverage (% of cost)</t>
  </si>
  <si>
    <t>construction loan</t>
  </si>
  <si>
    <t>First operating year ramp (b-t-c)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</si>
  <si>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</si>
  <si>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</si>
  <si>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</si>
  <si>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</si>
  <si>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</si>
  <si>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</si>
  <si>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</si>
  <si>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Premium stabilized levered cash flow</t>
  </si>
  <si>
    <t>premium NOI − loan interest</t>
  </si>
  <si>
    <t>at recap / sale</t>
  </si>
  <si>
    <t>BUILD-TO-CORE EQUITY CASH FLOW  (Yr 0–4, levered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</si>
  <si>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</si>
  <si>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</si>
  <si>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</si>
  <si>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</si>
  <si>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</si>
  <si>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</si>
  <si>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</si>
  <si>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</si>
  <si>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</si>
  <si>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engine.</t>
  </si>
  <si>
    <t>Illustrative. Hospitality is an income / hold play: it develops to roughly cost, so the return is durable cash flow + appreciation (lower IRR than the Phase 1 land, longer hold) — unless you build to core and recap at stabilization. VIVÂMEE operates; JAL leads capital formation.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</si>
</sst>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  <name val="Calibri"/>
    </font>
    <font>
      <color rgb="FF0B163C"/>
      <sz val="10"/>
      <name val="Calibri"/>
    </font>
    <font>
      <b/>
      <color rgb="FFFFFFFF"/>
      <sz val="9"/>
    </font>
    <font>
      <b/>
      <color rgb="FFFFFFFF"/>
      <sz val="10"/>
    </font>
    <font>
      <b/>
      <color rgb="FF0B163C"/>
      <sz val="10"/>
    </font>
    <font>
      <color rgb="FF0B163C"/>
      <sz val="10"/>
    </font>
    <font>
      <b/>
      <color rgb="FF3A243A"/>
      <sz val="10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indent="1"/>
    </xf>
    <xf numFmtId="0" fontId="8" fillId="0" borderId="0" xfId="0" applyFont="1" applyAlignment="1">
      <alignment horizontal="right"/>
    </xf>
    <xf numFmtId="166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10" fillId="2" borderId="0" xfId="0" applyFont="1" applyFill="1"/>
    <xf numFmtId="9" fontId="11" fillId="2" borderId="0" xfId="0" applyNumberFormat="1" applyFont="1" applyFill="1" applyAlignment="1">
      <alignment horizontal="center"/>
    </xf>
    <xf numFmtId="0" fontId="12" fillId="0" borderId="0" xfId="0" applyFont="1" applyAlignment="1">
      <alignment indent="1"/>
    </xf>
    <xf numFmtId="166" fontId="13" fillId="0" borderId="0" xfId="0" applyNumberFormat="1" applyFont="1" applyAlignment="1">
      <alignment horizontal="center"/>
    </xf>
    <xf numFmtId="166" fontId="14" fillId="4" borderId="0" xfId="0" applyNumberFormat="1" applyFont="1" applyFill="1" applyAlignment="1">
      <alignment horizontal="center"/>
    </xf>
    <xf numFmtId="0" fontId="15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6" fontId="11" fillId="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0.34676190476190477</v>
      </c>
    </row>
    <row r="45" spans="1:2" x14ac:dyDescent="0.25">
      <c r="A45" s="6" t="s">
        <v>67</v>
      </c>
      <c r="B45" s="11">
        <f>B43/B34</f>
        <v>0.5308353987461729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6" t="s">
        <v>70</v>
      </c>
      <c r="B47" s="10">
        <f>B46+B43</f>
        <v>25538400</v>
      </c>
      <c r="C47" s="8" t="s">
        <v>71</v>
      </c>
      <c r="D47" s="8"/>
      <c r="E47" s="8"/>
      <c r="F47" s="8"/>
    </row>
    <row r="48" spans="1:6" x14ac:dyDescent="0.25">
      <c r="A48" s="12" t="s">
        <v>72</v>
      </c>
      <c r="B48" s="17">
        <f>B47/B46</f>
        <v>2.327088496865432</v>
      </c>
      <c r="C48" s="8" t="s">
        <v>73</v>
      </c>
      <c r="D48" s="8"/>
      <c r="E48" s="8"/>
      <c r="F48" s="8"/>
    </row>
    <row r="50" spans="1:6" x14ac:dyDescent="0.25">
      <c r="A50" s="4" t="s">
        <v>74</v>
      </c>
      <c r="B50" s="5"/>
      <c r="C50" s="5"/>
      <c r="D50" s="5"/>
      <c r="E50" s="5"/>
      <c r="F50" s="5"/>
    </row>
    <row r="51" spans="1:6" x14ac:dyDescent="0.25">
      <c r="A51" s="18" t="s">
        <v>75</v>
      </c>
      <c r="B51" s="19" t="s">
        <v>76</v>
      </c>
      <c r="C51" s="19" t="s">
        <v>77</v>
      </c>
      <c r="D51" s="19" t="s">
        <v>78</v>
      </c>
      <c r="E51" s="19" t="s">
        <v>79</v>
      </c>
      <c r="F51" s="19" t="s">
        <v>80</v>
      </c>
    </row>
    <row r="52" spans="1:6" x14ac:dyDescent="0.25">
      <c r="A52" s="6" t="s">
        <v>81</v>
      </c>
      <c r="B52" s="20">
        <v>0</v>
      </c>
      <c r="C52" s="20">
        <v>0</v>
      </c>
      <c r="D52" s="20">
        <v>0.19047619047619047</v>
      </c>
      <c r="E52" s="20">
        <v>0.40476190476190477</v>
      </c>
      <c r="F52" s="20">
        <v>0.40476190476190477</v>
      </c>
    </row>
    <row r="53" spans="1:6" x14ac:dyDescent="0.25">
      <c r="A53" s="6" t="s">
        <v>82</v>
      </c>
      <c r="B53" s="20">
        <v>0.22</v>
      </c>
      <c r="C53" s="20">
        <v>0.38</v>
      </c>
      <c r="D53" s="20">
        <v>0.36</v>
      </c>
      <c r="E53" s="20">
        <v>0.03</v>
      </c>
      <c r="F53" s="20">
        <v>0.01</v>
      </c>
    </row>
    <row r="54" spans="1:6" x14ac:dyDescent="0.25">
      <c r="A54" s="6" t="s">
        <v>83</v>
      </c>
      <c r="B54" s="20">
        <v>0.607</v>
      </c>
      <c r="C54" s="20">
        <v>0.393</v>
      </c>
      <c r="D54" s="20">
        <v>0</v>
      </c>
      <c r="E54" s="20">
        <v>0</v>
      </c>
      <c r="F54" s="20">
        <v>0</v>
      </c>
    </row>
    <row r="55" spans="1:6" x14ac:dyDescent="0.25">
      <c r="A55" s="6" t="s">
        <v>84</v>
      </c>
      <c r="B55" s="20">
        <v>0</v>
      </c>
      <c r="C55" s="20">
        <v>0</v>
      </c>
      <c r="D55" s="20">
        <v>0.088</v>
      </c>
      <c r="E55" s="20">
        <v>0.307</v>
      </c>
      <c r="F55" s="20">
        <v>0.605</v>
      </c>
    </row>
    <row r="57" spans="1:6" x14ac:dyDescent="0.25">
      <c r="A57" s="4" t="s">
        <v>85</v>
      </c>
      <c r="B57" s="5"/>
      <c r="C57" s="5"/>
      <c r="D57" s="5"/>
      <c r="E57" s="5"/>
      <c r="F57" s="5"/>
    </row>
    <row r="58" spans="1:6" x14ac:dyDescent="0.25">
      <c r="A58" s="18" t="s">
        <v>75</v>
      </c>
      <c r="B58" s="19" t="s">
        <v>76</v>
      </c>
      <c r="C58" s="19" t="s">
        <v>77</v>
      </c>
      <c r="D58" s="19" t="s">
        <v>78</v>
      </c>
      <c r="E58" s="19" t="s">
        <v>79</v>
      </c>
      <c r="F58" s="19" t="s">
        <v>80</v>
      </c>
    </row>
    <row r="59" spans="1:6" x14ac:dyDescent="0.25">
      <c r="A59" s="6" t="s">
        <v>86</v>
      </c>
      <c r="B59" s="21">
        <f>$B$25*B52</f>
        <v>0</v>
      </c>
      <c r="C59" s="21">
        <f>$B$25*C52</f>
        <v>0</v>
      </c>
      <c r="D59" s="21">
        <f>$B$25*D52</f>
        <v>8000000</v>
      </c>
      <c r="E59" s="21">
        <f>$B$25*E52</f>
        <v>17000000</v>
      </c>
      <c r="F59" s="21">
        <f>$B$25*F52</f>
        <v>17000000</v>
      </c>
    </row>
    <row r="60" spans="1:6" x14ac:dyDescent="0.25">
      <c r="A60" s="6" t="s">
        <v>87</v>
      </c>
      <c r="B60" s="21">
        <f>-$B$34*B53</f>
        <v>-6035920</v>
      </c>
      <c r="C60" s="21">
        <f>-$B$34*C53</f>
        <v>-10425680</v>
      </c>
      <c r="D60" s="21">
        <f>-$B$34*D53</f>
        <v>-9876960</v>
      </c>
      <c r="E60" s="21">
        <f>-$B$34*E53</f>
        <v>-823080</v>
      </c>
      <c r="F60" s="21">
        <f>-$B$34*F53</f>
        <v>-274360</v>
      </c>
    </row>
    <row r="61" spans="1:6" x14ac:dyDescent="0.25">
      <c r="A61" s="12" t="s">
        <v>88</v>
      </c>
      <c r="B61" s="14">
        <f>B59+B60</f>
        <v>-6035920</v>
      </c>
      <c r="C61" s="14">
        <f>C59+C60</f>
        <v>-10425680</v>
      </c>
      <c r="D61" s="14">
        <f>D59+D60</f>
        <v>-1876960</v>
      </c>
      <c r="E61" s="14">
        <f>E59+E60</f>
        <v>16176920</v>
      </c>
      <c r="F61" s="14">
        <f>F59+F60</f>
        <v>16725640</v>
      </c>
    </row>
    <row r="62" spans="1:6" x14ac:dyDescent="0.25">
      <c r="A62" s="12" t="s">
        <v>89</v>
      </c>
      <c r="B62" s="22">
        <f>IRR(B61:F61)</f>
        <v>0.23697429468401643</v>
      </c>
      <c r="C62" s="8" t="s">
        <v>90</v>
      </c>
      <c r="D62" s="8"/>
      <c r="E62" s="8"/>
      <c r="F62" s="8"/>
    </row>
    <row r="64" spans="1:6" x14ac:dyDescent="0.25">
      <c r="A64" s="4" t="s">
        <v>91</v>
      </c>
      <c r="B64" s="5"/>
      <c r="C64" s="5"/>
      <c r="D64" s="5"/>
      <c r="E64" s="5"/>
      <c r="F64" s="5"/>
    </row>
    <row r="65" spans="1:6" x14ac:dyDescent="0.25">
      <c r="A65" s="18" t="s">
        <v>75</v>
      </c>
      <c r="B65" s="19" t="s">
        <v>76</v>
      </c>
      <c r="C65" s="19" t="s">
        <v>77</v>
      </c>
      <c r="D65" s="19" t="s">
        <v>78</v>
      </c>
      <c r="E65" s="19" t="s">
        <v>79</v>
      </c>
      <c r="F65" s="19" t="s">
        <v>80</v>
      </c>
    </row>
    <row r="66" spans="1:6" x14ac:dyDescent="0.25">
      <c r="A66" s="6" t="s">
        <v>92</v>
      </c>
      <c r="B66" s="21">
        <f>-$B$46*B54</f>
        <v>-6661460.8</v>
      </c>
      <c r="C66" s="21">
        <f>-$B$46*C54</f>
        <v>-4312939.2</v>
      </c>
      <c r="D66" s="21">
        <f>-$B$46*D54</f>
        <v>0</v>
      </c>
      <c r="E66" s="21">
        <f>-$B$46*E54</f>
        <v>0</v>
      </c>
      <c r="F66" s="21">
        <f>-$B$46*F54</f>
        <v>0</v>
      </c>
    </row>
    <row r="67" spans="1:6" x14ac:dyDescent="0.25">
      <c r="A67" s="6" t="s">
        <v>93</v>
      </c>
      <c r="B67" s="21">
        <f>$B$47*B55</f>
        <v>0</v>
      </c>
      <c r="C67" s="21">
        <f>$B$47*C55</f>
        <v>0</v>
      </c>
      <c r="D67" s="21">
        <f>$B$47*D55</f>
        <v>2247379.1999999997</v>
      </c>
      <c r="E67" s="21">
        <f>$B$47*E55</f>
        <v>7840288.8</v>
      </c>
      <c r="F67" s="21">
        <f>$B$47*F55</f>
        <v>15450732</v>
      </c>
    </row>
    <row r="68" spans="1:6" x14ac:dyDescent="0.25">
      <c r="A68" s="12" t="s">
        <v>94</v>
      </c>
      <c r="B68" s="10">
        <f>B66+B67</f>
        <v>-6661460.8</v>
      </c>
      <c r="C68" s="10">
        <f>C66+C67</f>
        <v>-4312939.2</v>
      </c>
      <c r="D68" s="10">
        <f>D66+D67</f>
        <v>2247379.1999999997</v>
      </c>
      <c r="E68" s="10">
        <f>E66+E67</f>
        <v>7840288.8</v>
      </c>
      <c r="F68" s="10">
        <f>F66+F67</f>
        <v>15450732</v>
      </c>
    </row>
    <row r="69" spans="1:6" x14ac:dyDescent="0.25">
      <c r="A69" s="12" t="s">
        <v>95</v>
      </c>
      <c r="B69" s="22">
        <f>IRR(B68:F68)</f>
        <v>0.31384809341597164</v>
      </c>
      <c r="C69" s="8" t="s">
        <v>96</v>
      </c>
      <c r="D69" s="8"/>
      <c r="E69" s="8"/>
      <c r="F69" s="8"/>
    </row>
    <row r="71" spans="1:6" x14ac:dyDescent="0.25">
      <c r="A71" s="4" t="s">
        <v>97</v>
      </c>
      <c r="B71" s="5"/>
      <c r="C71" s="5"/>
      <c r="D71" s="5"/>
      <c r="E71" s="5"/>
      <c r="F71" s="5"/>
    </row>
    <row r="72" spans="1:6" x14ac:dyDescent="0.25">
      <c r="A72" s="18" t="s">
        <v>75</v>
      </c>
      <c r="B72" s="19" t="s">
        <v>76</v>
      </c>
      <c r="C72" s="19" t="s">
        <v>77</v>
      </c>
      <c r="D72" s="19" t="s">
        <v>78</v>
      </c>
      <c r="E72" s="19" t="s">
        <v>79</v>
      </c>
      <c r="F72" s="19" t="s">
        <v>80</v>
      </c>
    </row>
    <row r="73" spans="1:6" x14ac:dyDescent="0.25">
      <c r="A73" s="6" t="s">
        <v>98</v>
      </c>
      <c r="B73" s="21">
        <v>-5995315</v>
      </c>
      <c r="C73" s="21">
        <v>-3881645</v>
      </c>
      <c r="D73" s="21">
        <v>2022641</v>
      </c>
      <c r="E73" s="21">
        <v>7056260</v>
      </c>
      <c r="F73" s="21">
        <v>11235772</v>
      </c>
    </row>
    <row r="74" spans="1:6" x14ac:dyDescent="0.25">
      <c r="A74" s="6" t="s">
        <v>99</v>
      </c>
      <c r="B74" s="21">
        <v>-666146</v>
      </c>
      <c r="C74" s="21">
        <v>-431294</v>
      </c>
      <c r="D74" s="21">
        <v>224738</v>
      </c>
      <c r="E74" s="21">
        <v>784029</v>
      </c>
      <c r="F74" s="21">
        <v>4214960</v>
      </c>
    </row>
    <row r="75" spans="1:6" x14ac:dyDescent="0.25">
      <c r="A75" s="12" t="s">
        <v>100</v>
      </c>
      <c r="B75" s="22">
        <f>IRR(B73:F73)</f>
        <v>0.26841642110322594</v>
      </c>
      <c r="C75" s="8" t="s">
        <v>101</v>
      </c>
      <c r="D75" s="8"/>
      <c r="E75" s="8"/>
      <c r="F75" s="8"/>
    </row>
    <row r="76" spans="1:6" x14ac:dyDescent="0.25">
      <c r="A76" s="12" t="s">
        <v>102</v>
      </c>
      <c r="B76" s="11">
        <f>IRR(B74:F74)</f>
        <v>0.5930774883918588</v>
      </c>
      <c r="C76" s="8" t="s">
        <v>103</v>
      </c>
      <c r="D76" s="8"/>
      <c r="E76" s="8"/>
      <c r="F76" s="8"/>
    </row>
    <row r="77" spans="1:6" x14ac:dyDescent="0.25">
      <c r="A77" s="12" t="s">
        <v>104</v>
      </c>
      <c r="B77" s="10">
        <f>SUM(B74:F74)</f>
        <v>4126286</v>
      </c>
      <c r="C77" s="8" t="s">
        <v>105</v>
      </c>
      <c r="D77" s="8"/>
      <c r="E77" s="8"/>
      <c r="F77" s="8"/>
    </row>
    <row r="78" spans="1:6" x14ac:dyDescent="0.25">
      <c r="A78" s="8" t="s">
        <v>106</v>
      </c>
      <c r="B78" s="8"/>
      <c r="C78" s="8"/>
      <c r="D78" s="8"/>
      <c r="E78" s="8"/>
      <c r="F78" s="8"/>
    </row>
    <row r="80" spans="1:6" x14ac:dyDescent="0.25">
      <c r="A80" s="4" t="s">
        <v>107</v>
      </c>
      <c r="B80" s="5"/>
      <c r="C80" s="5"/>
      <c r="D80" s="5"/>
      <c r="E80" s="5"/>
      <c r="F80" s="5"/>
    </row>
    <row r="81" spans="1:5" x14ac:dyDescent="0.25">
      <c r="A81" s="23" t="s">
        <v>108</v>
      </c>
      <c r="B81" s="24">
        <v>0.55</v>
      </c>
      <c r="C81" s="24">
        <v>0.6</v>
      </c>
      <c r="D81" s="24">
        <v>0.65</v>
      </c>
      <c r="E81" s="24">
        <v>0.7</v>
      </c>
    </row>
    <row r="82" spans="1:5" x14ac:dyDescent="0.25">
      <c r="A82" s="25" t="s">
        <v>109</v>
      </c>
      <c r="B82" s="26">
        <v>0.18078353298753924</v>
      </c>
      <c r="C82" s="26">
        <v>0.19735068232227648</v>
      </c>
      <c r="D82" s="26">
        <v>0.21556470054605692</v>
      </c>
      <c r="E82" s="26">
        <v>0.23872937985286258</v>
      </c>
    </row>
    <row r="83" spans="1:5" x14ac:dyDescent="0.25">
      <c r="A83" s="25" t="s">
        <v>110</v>
      </c>
      <c r="B83" s="26">
        <v>0.24776127543856818</v>
      </c>
      <c r="C83" s="27">
        <v>0.26841642110322594</v>
      </c>
      <c r="D83" s="26">
        <v>0.2942311832200314</v>
      </c>
      <c r="E83" s="26">
        <v>0.3275162111848672</v>
      </c>
    </row>
    <row r="84" spans="1:5" x14ac:dyDescent="0.25">
      <c r="A84" s="25" t="s">
        <v>111</v>
      </c>
      <c r="B84" s="26">
        <v>0.3066500722851123</v>
      </c>
      <c r="C84" s="26">
        <v>0.33287240798168527</v>
      </c>
      <c r="D84" s="26">
        <v>0.36543747436242235</v>
      </c>
      <c r="E84" s="26">
        <v>0.4065234048048615</v>
      </c>
    </row>
    <row r="85" spans="1:6" x14ac:dyDescent="0.25">
      <c r="A85" s="8" t="s">
        <v>112</v>
      </c>
      <c r="B85" s="8"/>
      <c r="C85" s="8"/>
      <c r="D85" s="8"/>
      <c r="E85" s="8"/>
      <c r="F85" s="8"/>
    </row>
    <row r="87" ht="42" customHeight="1" spans="1:6" x14ac:dyDescent="0.25">
      <c r="A87" s="28" t="s">
        <v>113</v>
      </c>
      <c r="B87" s="28"/>
      <c r="C87" s="28"/>
      <c r="D87" s="28"/>
      <c r="E87" s="28"/>
      <c r="F87" s="28"/>
    </row>
  </sheetData>
  <mergeCells count="41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48:F48"/>
    <mergeCell ref="C62:F62"/>
    <mergeCell ref="C69:F69"/>
    <mergeCell ref="C75:F75"/>
    <mergeCell ref="C76:F76"/>
    <mergeCell ref="C77:F77"/>
    <mergeCell ref="A78:F78"/>
    <mergeCell ref="A85:F85"/>
    <mergeCell ref="A87:F8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114</v>
      </c>
      <c r="B1" s="2"/>
      <c r="C1" s="2"/>
      <c r="D1" s="2"/>
      <c r="E1" s="2"/>
      <c r="F1" s="2"/>
    </row>
    <row r="2" spans="1:6" x14ac:dyDescent="0.25">
      <c r="A2" s="3" t="s">
        <v>115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116</v>
      </c>
      <c r="B5" s="7">
        <v>100</v>
      </c>
      <c r="C5" s="8" t="s">
        <v>117</v>
      </c>
      <c r="D5" s="8"/>
      <c r="E5" s="8"/>
      <c r="F5" s="8"/>
    </row>
    <row r="6" spans="1:6" x14ac:dyDescent="0.25">
      <c r="A6" s="6" t="s">
        <v>118</v>
      </c>
      <c r="B6" s="10">
        <v>325000</v>
      </c>
      <c r="C6" s="8" t="s">
        <v>119</v>
      </c>
      <c r="D6" s="8"/>
      <c r="E6" s="8"/>
      <c r="F6" s="8"/>
    </row>
    <row r="7" spans="1:6" x14ac:dyDescent="0.25">
      <c r="A7" s="6" t="s">
        <v>120</v>
      </c>
      <c r="B7" s="10">
        <v>250</v>
      </c>
      <c r="C7" s="8" t="s">
        <v>121</v>
      </c>
      <c r="D7" s="8"/>
      <c r="E7" s="8"/>
      <c r="F7" s="8"/>
    </row>
    <row r="8" spans="1:6" x14ac:dyDescent="0.25">
      <c r="A8" s="6" t="s">
        <v>122</v>
      </c>
      <c r="B8" s="11">
        <v>0.62</v>
      </c>
      <c r="C8" s="8" t="s">
        <v>123</v>
      </c>
      <c r="D8" s="8"/>
      <c r="E8" s="8"/>
      <c r="F8" s="8"/>
    </row>
    <row r="9" spans="1:6" x14ac:dyDescent="0.25">
      <c r="A9" s="6" t="s">
        <v>124</v>
      </c>
      <c r="B9" s="29">
        <v>1.6</v>
      </c>
      <c r="C9" s="8" t="s">
        <v>125</v>
      </c>
      <c r="D9" s="8"/>
      <c r="E9" s="8"/>
      <c r="F9" s="8"/>
    </row>
    <row r="10" spans="1:6" x14ac:dyDescent="0.25">
      <c r="A10" s="6" t="s">
        <v>126</v>
      </c>
      <c r="B10" s="11">
        <v>0.31</v>
      </c>
      <c r="C10" s="8" t="s">
        <v>127</v>
      </c>
      <c r="D10" s="8"/>
      <c r="E10" s="8"/>
      <c r="F10" s="8"/>
    </row>
    <row r="11" spans="1:6" x14ac:dyDescent="0.25">
      <c r="A11" s="6" t="s">
        <v>128</v>
      </c>
      <c r="B11" s="7">
        <v>16000</v>
      </c>
      <c r="C11" s="8" t="s">
        <v>129</v>
      </c>
      <c r="D11" s="8"/>
      <c r="E11" s="8"/>
      <c r="F11" s="8"/>
    </row>
    <row r="12" spans="1:6" x14ac:dyDescent="0.25">
      <c r="A12" s="6" t="s">
        <v>130</v>
      </c>
      <c r="B12" s="10">
        <v>550</v>
      </c>
      <c r="C12" s="8" t="s">
        <v>131</v>
      </c>
      <c r="D12" s="8"/>
      <c r="E12" s="8"/>
      <c r="F12" s="8"/>
    </row>
    <row r="13" spans="1:6" x14ac:dyDescent="0.25">
      <c r="A13" s="6" t="s">
        <v>132</v>
      </c>
      <c r="B13" s="10">
        <v>700</v>
      </c>
      <c r="C13" s="8" t="s">
        <v>133</v>
      </c>
      <c r="D13" s="8"/>
      <c r="E13" s="8"/>
      <c r="F13" s="8"/>
    </row>
    <row r="14" spans="1:6" x14ac:dyDescent="0.25">
      <c r="A14" s="6" t="s">
        <v>134</v>
      </c>
      <c r="B14" s="11">
        <v>0.09</v>
      </c>
      <c r="C14" s="8" t="s">
        <v>135</v>
      </c>
      <c r="D14" s="8"/>
      <c r="E14" s="8"/>
      <c r="F14" s="8"/>
    </row>
    <row r="15" spans="1:6" x14ac:dyDescent="0.25">
      <c r="A15" s="6" t="s">
        <v>136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137</v>
      </c>
      <c r="B16" s="10">
        <v>3700000</v>
      </c>
    </row>
    <row r="17" spans="1:6" x14ac:dyDescent="0.25">
      <c r="A17" s="6" t="s">
        <v>138</v>
      </c>
      <c r="B17" s="11">
        <v>0.08</v>
      </c>
      <c r="C17" s="8" t="s">
        <v>139</v>
      </c>
      <c r="D17" s="8"/>
      <c r="E17" s="8"/>
      <c r="F17" s="8"/>
    </row>
    <row r="18" spans="1:2" x14ac:dyDescent="0.25">
      <c r="A18" s="6" t="s">
        <v>140</v>
      </c>
      <c r="B18" s="11">
        <v>0.6</v>
      </c>
    </row>
    <row r="19" spans="1:2" x14ac:dyDescent="0.25">
      <c r="A19" s="6" t="s">
        <v>141</v>
      </c>
      <c r="B19" s="11">
        <v>0.07</v>
      </c>
    </row>
    <row r="20" spans="1:2" x14ac:dyDescent="0.25">
      <c r="A20" s="6" t="s">
        <v>142</v>
      </c>
      <c r="B20" s="11">
        <v>0.03</v>
      </c>
    </row>
    <row r="21" spans="1:6" x14ac:dyDescent="0.25">
      <c r="A21" s="6" t="s">
        <v>143</v>
      </c>
      <c r="B21" s="11">
        <v>0.5</v>
      </c>
      <c r="C21" s="8" t="s">
        <v>144</v>
      </c>
      <c r="D21" s="8"/>
      <c r="E21" s="8"/>
      <c r="F21" s="8"/>
    </row>
    <row r="22" spans="1:6" x14ac:dyDescent="0.25">
      <c r="A22" s="6" t="s">
        <v>145</v>
      </c>
      <c r="B22" s="11">
        <v>0.5</v>
      </c>
      <c r="C22" s="8" t="s">
        <v>146</v>
      </c>
      <c r="D22" s="8"/>
      <c r="E22" s="8"/>
      <c r="F22" s="8"/>
    </row>
    <row r="24" spans="1:6" x14ac:dyDescent="0.25">
      <c r="A24" s="4" t="s">
        <v>147</v>
      </c>
      <c r="B24" s="5"/>
      <c r="C24" s="5"/>
      <c r="D24" s="5"/>
      <c r="E24" s="5"/>
      <c r="F24" s="5"/>
    </row>
    <row r="25" spans="1:6" x14ac:dyDescent="0.25">
      <c r="A25" s="6" t="s">
        <v>148</v>
      </c>
      <c r="B25" s="10">
        <f>B5*B6</f>
        <v>32500000</v>
      </c>
      <c r="C25" s="8" t="s">
        <v>149</v>
      </c>
      <c r="D25" s="8"/>
      <c r="E25" s="8"/>
      <c r="F25" s="8"/>
    </row>
    <row r="26" spans="1:6" x14ac:dyDescent="0.25">
      <c r="A26" s="6" t="s">
        <v>150</v>
      </c>
      <c r="B26" s="10">
        <f>B5*365*B7*B8</f>
        <v>5657500</v>
      </c>
      <c r="C26" s="8" t="s">
        <v>151</v>
      </c>
      <c r="D26" s="8"/>
      <c r="E26" s="8"/>
      <c r="F26" s="8"/>
    </row>
    <row r="27" spans="1:6" x14ac:dyDescent="0.25">
      <c r="A27" s="6" t="s">
        <v>152</v>
      </c>
      <c r="B27" s="10">
        <f>B26*B9</f>
        <v>9052000</v>
      </c>
      <c r="C27" s="8" t="s">
        <v>153</v>
      </c>
      <c r="D27" s="8"/>
      <c r="E27" s="8"/>
      <c r="F27" s="8"/>
    </row>
    <row r="28" spans="1:6" x14ac:dyDescent="0.25">
      <c r="A28" s="12" t="s">
        <v>154</v>
      </c>
      <c r="B28" s="14">
        <f>B27*B10</f>
        <v>2806120</v>
      </c>
      <c r="C28" s="8" t="s">
        <v>155</v>
      </c>
      <c r="D28" s="8"/>
      <c r="E28" s="8"/>
      <c r="F28" s="8"/>
    </row>
    <row r="30" spans="1:6" x14ac:dyDescent="0.25">
      <c r="A30" s="4" t="s">
        <v>156</v>
      </c>
      <c r="B30" s="5"/>
      <c r="C30" s="5"/>
      <c r="D30" s="5"/>
      <c r="E30" s="5"/>
      <c r="F30" s="5"/>
    </row>
    <row r="31" spans="1:6" x14ac:dyDescent="0.25">
      <c r="A31" s="6" t="s">
        <v>157</v>
      </c>
      <c r="B31" s="10">
        <f>B11*B12</f>
        <v>8800000</v>
      </c>
      <c r="C31" s="8" t="s">
        <v>158</v>
      </c>
      <c r="D31" s="8"/>
      <c r="E31" s="8"/>
      <c r="F31" s="8"/>
    </row>
    <row r="32" spans="1:6" x14ac:dyDescent="0.25">
      <c r="A32" s="6" t="s">
        <v>159</v>
      </c>
      <c r="B32" s="10">
        <f>B11*B13</f>
        <v>11200000</v>
      </c>
      <c r="C32" s="8" t="s">
        <v>160</v>
      </c>
      <c r="D32" s="8"/>
      <c r="E32" s="8"/>
      <c r="F32" s="8"/>
    </row>
    <row r="33" spans="1:6" x14ac:dyDescent="0.25">
      <c r="A33" s="12" t="s">
        <v>161</v>
      </c>
      <c r="B33" s="14">
        <f>B32*B14</f>
        <v>1008000</v>
      </c>
      <c r="C33" s="8" t="s">
        <v>135</v>
      </c>
      <c r="D33" s="8"/>
      <c r="E33" s="8"/>
      <c r="F33" s="8"/>
    </row>
    <row r="35" spans="1:6" x14ac:dyDescent="0.25">
      <c r="A35" s="4" t="s">
        <v>162</v>
      </c>
      <c r="B35" s="5"/>
      <c r="C35" s="5"/>
      <c r="D35" s="5"/>
      <c r="E35" s="5"/>
      <c r="F35" s="5"/>
    </row>
    <row r="36" spans="1:6" x14ac:dyDescent="0.25">
      <c r="A36" s="15" t="s">
        <v>163</v>
      </c>
      <c r="B36" s="16">
        <f>B25+B31+B15+B16</f>
        <v>47000000</v>
      </c>
      <c r="C36" s="8" t="s">
        <v>164</v>
      </c>
      <c r="D36" s="8"/>
      <c r="E36" s="8"/>
      <c r="F36" s="8"/>
    </row>
    <row r="37" spans="1:6" x14ac:dyDescent="0.25">
      <c r="A37" s="15" t="s">
        <v>165</v>
      </c>
      <c r="B37" s="16">
        <f>B28+B33</f>
        <v>3814120</v>
      </c>
      <c r="C37" s="8" t="s">
        <v>166</v>
      </c>
      <c r="D37" s="8"/>
      <c r="E37" s="8"/>
      <c r="F37" s="8"/>
    </row>
    <row r="38" spans="1:6" x14ac:dyDescent="0.25">
      <c r="A38" s="12" t="s">
        <v>167</v>
      </c>
      <c r="B38" s="11">
        <f>B37/B36</f>
        <v>0.08115148936170213</v>
      </c>
      <c r="C38" s="8" t="s">
        <v>168</v>
      </c>
      <c r="D38" s="8"/>
      <c r="E38" s="8"/>
      <c r="F38" s="8"/>
    </row>
    <row r="39" spans="1:6" x14ac:dyDescent="0.25">
      <c r="A39" s="6" t="s">
        <v>169</v>
      </c>
      <c r="B39" s="10">
        <f>B36*B18</f>
        <v>28200000</v>
      </c>
      <c r="C39" s="8" t="s">
        <v>170</v>
      </c>
      <c r="D39" s="8"/>
      <c r="E39" s="8"/>
      <c r="F39" s="8"/>
    </row>
    <row r="40" spans="1:6" x14ac:dyDescent="0.25">
      <c r="A40" s="6" t="s">
        <v>171</v>
      </c>
      <c r="B40" s="10">
        <f>B36-B39</f>
        <v>18800000</v>
      </c>
      <c r="C40" s="8" t="s">
        <v>172</v>
      </c>
      <c r="D40" s="8"/>
      <c r="E40" s="8"/>
      <c r="F40" s="8"/>
    </row>
    <row r="41" spans="1:6" x14ac:dyDescent="0.25">
      <c r="A41" s="12" t="s">
        <v>173</v>
      </c>
      <c r="B41" s="10">
        <f>B37-B39*B19</f>
        <v>1840119.9999999998</v>
      </c>
      <c r="C41" s="8" t="s">
        <v>174</v>
      </c>
      <c r="D41" s="8"/>
      <c r="E41" s="8"/>
      <c r="F41" s="8"/>
    </row>
    <row r="42" spans="1:6" x14ac:dyDescent="0.25">
      <c r="A42" s="6" t="s">
        <v>175</v>
      </c>
      <c r="B42" s="11">
        <f>B41/B40</f>
        <v>0.09787872340425531</v>
      </c>
      <c r="C42" s="8" t="s">
        <v>176</v>
      </c>
      <c r="D42" s="8"/>
      <c r="E42" s="8"/>
      <c r="F42" s="8"/>
    </row>
    <row r="44" spans="1:6" x14ac:dyDescent="0.25">
      <c r="A44" s="4" t="s">
        <v>177</v>
      </c>
      <c r="B44" s="5"/>
      <c r="C44" s="5"/>
      <c r="D44" s="5"/>
      <c r="E44" s="5"/>
      <c r="F44" s="5"/>
    </row>
    <row r="45" spans="1:6" x14ac:dyDescent="0.25">
      <c r="A45" s="6" t="s">
        <v>178</v>
      </c>
      <c r="B45" s="10">
        <f>B37*(1+B20)^4</f>
        <v>4292825.6623972</v>
      </c>
      <c r="C45" s="8" t="s">
        <v>179</v>
      </c>
      <c r="D45" s="8"/>
      <c r="E45" s="8"/>
      <c r="F45" s="8"/>
    </row>
    <row r="46" spans="1:6" x14ac:dyDescent="0.25">
      <c r="A46" s="12" t="s">
        <v>180</v>
      </c>
      <c r="B46" s="10">
        <f>B45/B17</f>
        <v>53660320.779965</v>
      </c>
      <c r="C46" s="8" t="s">
        <v>181</v>
      </c>
      <c r="D46" s="8"/>
      <c r="E46" s="8"/>
      <c r="F46" s="8"/>
    </row>
    <row r="47" spans="1:6" x14ac:dyDescent="0.25">
      <c r="A47" s="6" t="s">
        <v>182</v>
      </c>
      <c r="B47" s="10">
        <f>B46-B39</f>
        <v>25460320.779965</v>
      </c>
      <c r="C47" s="8" t="s">
        <v>183</v>
      </c>
      <c r="D47" s="8"/>
      <c r="E47" s="8"/>
      <c r="F47" s="8"/>
    </row>
    <row r="49" spans="1:6" x14ac:dyDescent="0.25">
      <c r="A49" s="4" t="s">
        <v>184</v>
      </c>
      <c r="B49" s="5"/>
      <c r="C49" s="5"/>
      <c r="D49" s="5"/>
      <c r="E49" s="5"/>
      <c r="F49" s="5"/>
    </row>
    <row r="50" spans="1:2" x14ac:dyDescent="0.25">
      <c r="A50" s="6" t="s">
        <v>185</v>
      </c>
      <c r="B50" s="21">
        <f>-B40*B21</f>
        <v>-9400000</v>
      </c>
    </row>
    <row r="51" spans="1:2" x14ac:dyDescent="0.25">
      <c r="A51" s="6" t="s">
        <v>186</v>
      </c>
      <c r="B51" s="21">
        <f>-B40*(1-B21)</f>
        <v>-9400000</v>
      </c>
    </row>
    <row r="52" spans="1:2" x14ac:dyDescent="0.25">
      <c r="A52" s="6" t="s">
        <v>187</v>
      </c>
      <c r="B52" s="21">
        <f>B41*B22</f>
        <v>920059.9999999999</v>
      </c>
    </row>
    <row r="53" spans="1:2" x14ac:dyDescent="0.25">
      <c r="A53" s="6" t="s">
        <v>188</v>
      </c>
      <c r="B53" s="21">
        <f>B41</f>
        <v>1840119.9999999998</v>
      </c>
    </row>
    <row r="54" spans="1:2" x14ac:dyDescent="0.25">
      <c r="A54" s="6" t="s">
        <v>189</v>
      </c>
      <c r="B54" s="21">
        <f>B41*(1+B20)</f>
        <v>1895323.5999999999</v>
      </c>
    </row>
    <row r="55" spans="1:2" x14ac:dyDescent="0.25">
      <c r="A55" s="6" t="s">
        <v>190</v>
      </c>
      <c r="B55" s="21">
        <f>B41*(1+B20)^2</f>
        <v>1952183.3079999997</v>
      </c>
    </row>
    <row r="56" spans="1:2" x14ac:dyDescent="0.25">
      <c r="A56" s="6" t="s">
        <v>191</v>
      </c>
      <c r="B56" s="21">
        <f>B41*(1+B20)^3</f>
        <v>2010748.8072399998</v>
      </c>
    </row>
    <row r="57" spans="1:2" x14ac:dyDescent="0.25">
      <c r="A57" s="6" t="s">
        <v>192</v>
      </c>
      <c r="B57" s="21">
        <f>B41*(1+B20)^4+B47</f>
        <v>27531392.051422197</v>
      </c>
    </row>
    <row r="58" spans="1:6" x14ac:dyDescent="0.25">
      <c r="A58" s="12" t="s">
        <v>193</v>
      </c>
      <c r="B58" s="17">
        <f>SUM(B52:B57)/-(B50+B51)</f>
        <v>1.9228631790777764</v>
      </c>
      <c r="C58" s="8" t="s">
        <v>194</v>
      </c>
      <c r="D58" s="8"/>
      <c r="E58" s="8"/>
      <c r="F58" s="8"/>
    </row>
    <row r="59" spans="1:6" x14ac:dyDescent="0.25">
      <c r="A59" s="12" t="s">
        <v>195</v>
      </c>
      <c r="B59" s="22">
        <f>IRR(B50:B57)</f>
        <v>0.12039129900378642</v>
      </c>
      <c r="C59" s="8" t="s">
        <v>196</v>
      </c>
      <c r="D59" s="8"/>
      <c r="E59" s="8"/>
      <c r="F59" s="8"/>
    </row>
    <row r="61" spans="1:6" x14ac:dyDescent="0.25">
      <c r="A61" s="4" t="s">
        <v>197</v>
      </c>
      <c r="B61" s="5"/>
      <c r="C61" s="5"/>
      <c r="D61" s="5"/>
      <c r="E61" s="5"/>
      <c r="F61" s="5"/>
    </row>
    <row r="62" spans="1:6" x14ac:dyDescent="0.25">
      <c r="A62" s="6" t="s">
        <v>198</v>
      </c>
      <c r="B62" s="11">
        <v>0.22</v>
      </c>
      <c r="C62" s="8" t="s">
        <v>199</v>
      </c>
      <c r="D62" s="8"/>
      <c r="E62" s="8"/>
      <c r="F62" s="8"/>
    </row>
    <row r="63" spans="1:6" x14ac:dyDescent="0.25">
      <c r="A63" s="12" t="s">
        <v>200</v>
      </c>
      <c r="B63" s="14">
        <f>B37*(1+B62)</f>
        <v>4653226.399999999</v>
      </c>
      <c r="C63" s="8" t="s">
        <v>201</v>
      </c>
      <c r="D63" s="8"/>
      <c r="E63" s="8"/>
      <c r="F63" s="8"/>
    </row>
    <row r="64" spans="1:6" x14ac:dyDescent="0.25">
      <c r="A64" s="6" t="s">
        <v>202</v>
      </c>
      <c r="B64" s="11">
        <v>0.075</v>
      </c>
      <c r="C64" s="8" t="s">
        <v>203</v>
      </c>
      <c r="D64" s="8"/>
      <c r="E64" s="8"/>
      <c r="F64" s="8"/>
    </row>
    <row r="65" spans="1:6" x14ac:dyDescent="0.25">
      <c r="A65" s="6" t="s">
        <v>204</v>
      </c>
      <c r="B65" s="11">
        <v>0.65</v>
      </c>
      <c r="C65" s="8" t="s">
        <v>205</v>
      </c>
      <c r="D65" s="8"/>
      <c r="E65" s="8"/>
      <c r="F65" s="8"/>
    </row>
    <row r="66" spans="1:6" x14ac:dyDescent="0.25">
      <c r="A66" s="6" t="s">
        <v>206</v>
      </c>
      <c r="B66" s="11">
        <v>0.4</v>
      </c>
      <c r="C66" s="8" t="s">
        <v>146</v>
      </c>
      <c r="D66" s="8"/>
      <c r="E66" s="8"/>
      <c r="F66" s="8"/>
    </row>
    <row r="67" spans="1:6" x14ac:dyDescent="0.25">
      <c r="A67" s="12" t="s">
        <v>207</v>
      </c>
      <c r="B67" s="11">
        <f>B63/B36</f>
        <v>0.09900481702127659</v>
      </c>
      <c r="C67" s="8" t="s">
        <v>208</v>
      </c>
      <c r="D67" s="8"/>
      <c r="E67" s="8"/>
      <c r="F67" s="8"/>
    </row>
    <row r="68" spans="1:6" x14ac:dyDescent="0.25">
      <c r="A68" s="12" t="s">
        <v>209</v>
      </c>
      <c r="B68" s="10">
        <f>B63/B64</f>
        <v>62043018.666666664</v>
      </c>
      <c r="C68" s="8" t="s">
        <v>210</v>
      </c>
      <c r="D68" s="8"/>
      <c r="E68" s="8"/>
      <c r="F68" s="8"/>
    </row>
    <row r="69" spans="1:6" x14ac:dyDescent="0.25">
      <c r="A69" s="6" t="s">
        <v>211</v>
      </c>
      <c r="B69" s="10">
        <f>B36*B65</f>
        <v>30550000</v>
      </c>
      <c r="C69" s="8" t="s">
        <v>212</v>
      </c>
      <c r="D69" s="8"/>
      <c r="E69" s="8"/>
      <c r="F69" s="8"/>
    </row>
    <row r="70" spans="1:6" x14ac:dyDescent="0.25">
      <c r="A70" s="6" t="s">
        <v>213</v>
      </c>
      <c r="B70" s="10">
        <f>B36-B69</f>
        <v>16450000</v>
      </c>
      <c r="C70" s="8" t="s">
        <v>172</v>
      </c>
      <c r="D70" s="8"/>
      <c r="E70" s="8"/>
      <c r="F70" s="8"/>
    </row>
    <row r="71" spans="1:6" x14ac:dyDescent="0.25">
      <c r="A71" s="6" t="s">
        <v>214</v>
      </c>
      <c r="B71" s="10">
        <f>B63-B69*B19</f>
        <v>2514726.3999999994</v>
      </c>
      <c r="C71" s="8" t="s">
        <v>215</v>
      </c>
      <c r="D71" s="8"/>
      <c r="E71" s="8"/>
      <c r="F71" s="8"/>
    </row>
    <row r="72" spans="1:6" x14ac:dyDescent="0.25">
      <c r="A72" s="6" t="s">
        <v>182</v>
      </c>
      <c r="B72" s="10">
        <f>B68-B69</f>
        <v>31493018.666666664</v>
      </c>
      <c r="C72" s="8" t="s">
        <v>216</v>
      </c>
      <c r="D72" s="8"/>
      <c r="E72" s="8"/>
      <c r="F72" s="8"/>
    </row>
    <row r="74" spans="1:6" x14ac:dyDescent="0.25">
      <c r="A74" s="4" t="s">
        <v>217</v>
      </c>
      <c r="B74" s="5"/>
      <c r="C74" s="5"/>
      <c r="D74" s="5"/>
      <c r="E74" s="5"/>
      <c r="F74" s="5"/>
    </row>
    <row r="75" spans="1:2" x14ac:dyDescent="0.25">
      <c r="A75" s="6" t="s">
        <v>185</v>
      </c>
      <c r="B75" s="21">
        <f>-B70*B21</f>
        <v>-8225000</v>
      </c>
    </row>
    <row r="76" spans="1:2" x14ac:dyDescent="0.25">
      <c r="A76" s="6" t="s">
        <v>186</v>
      </c>
      <c r="B76" s="21">
        <f>-B70*(1-B21)</f>
        <v>-8225000</v>
      </c>
    </row>
    <row r="77" spans="1:2" x14ac:dyDescent="0.25">
      <c r="A77" s="6" t="s">
        <v>187</v>
      </c>
      <c r="B77" s="21">
        <f>B71*B66</f>
        <v>1005890.5599999998</v>
      </c>
    </row>
    <row r="78" spans="1:2" x14ac:dyDescent="0.25">
      <c r="A78" s="6" t="s">
        <v>188</v>
      </c>
      <c r="B78" s="21">
        <f>B71</f>
        <v>2514726.3999999994</v>
      </c>
    </row>
    <row r="79" spans="1:2" x14ac:dyDescent="0.25">
      <c r="A79" s="6" t="s">
        <v>189</v>
      </c>
      <c r="B79" s="21">
        <f>B71+B72</f>
        <v>34007745.06666666</v>
      </c>
    </row>
    <row r="80" spans="1:6" x14ac:dyDescent="0.25">
      <c r="A80" s="12" t="s">
        <v>218</v>
      </c>
      <c r="B80" s="17">
        <f>SUM(B77:B79)/-(B75+B76)</f>
        <v>2.281359393718338</v>
      </c>
      <c r="C80" s="8" t="s">
        <v>219</v>
      </c>
      <c r="D80" s="8"/>
      <c r="E80" s="8"/>
      <c r="F80" s="8"/>
    </row>
    <row r="81" spans="1:6" x14ac:dyDescent="0.25">
      <c r="A81" s="12" t="s">
        <v>220</v>
      </c>
      <c r="B81" s="22">
        <f>IRR(B75:B79)</f>
        <v>0.27563551751308235</v>
      </c>
      <c r="C81" s="8" t="s">
        <v>221</v>
      </c>
      <c r="D81" s="8"/>
      <c r="E81" s="8"/>
      <c r="F81" s="8"/>
    </row>
    <row r="83" spans="1:6" x14ac:dyDescent="0.25">
      <c r="A83" s="4" t="s">
        <v>222</v>
      </c>
      <c r="B83" s="5"/>
      <c r="C83" s="5"/>
      <c r="D83" s="5"/>
      <c r="E83" s="5"/>
      <c r="F83" s="5"/>
    </row>
    <row r="84" spans="1:5" x14ac:dyDescent="0.25">
      <c r="A84" s="23" t="s">
        <v>223</v>
      </c>
      <c r="B84" s="30">
        <v>0.07</v>
      </c>
      <c r="C84" s="30">
        <v>0.075</v>
      </c>
      <c r="D84" s="30">
        <v>0.08</v>
      </c>
      <c r="E84" s="30">
        <v>0.085</v>
      </c>
    </row>
    <row r="85" spans="1:5" x14ac:dyDescent="0.25">
      <c r="A85" s="25" t="s">
        <v>224</v>
      </c>
      <c r="B85" s="26">
        <v>0.2413590494653527</v>
      </c>
      <c r="C85" s="26">
        <v>0.1981010805160578</v>
      </c>
      <c r="D85" s="26">
        <v>0.15643182900562425</v>
      </c>
      <c r="E85" s="26">
        <v>0.11594756701498155</v>
      </c>
    </row>
    <row r="86" spans="1:5" x14ac:dyDescent="0.25">
      <c r="A86" s="25" t="s">
        <v>225</v>
      </c>
      <c r="B86" s="26">
        <v>0.3166711576166231</v>
      </c>
      <c r="C86" s="27">
        <v>0.27563551751308235</v>
      </c>
      <c r="D86" s="26">
        <v>0.2365089547947662</v>
      </c>
      <c r="E86" s="26">
        <v>0.1989302587607228</v>
      </c>
    </row>
    <row r="87" spans="1:5" x14ac:dyDescent="0.25">
      <c r="A87" s="25" t="s">
        <v>226</v>
      </c>
      <c r="B87" s="26">
        <v>0.3879656267349022</v>
      </c>
      <c r="C87" s="26">
        <v>0.3484741336946878</v>
      </c>
      <c r="D87" s="26">
        <v>0.31109801406577653</v>
      </c>
      <c r="E87" s="26">
        <v>0.2754915069098355</v>
      </c>
    </row>
    <row r="88" spans="1:6" x14ac:dyDescent="0.25">
      <c r="A88" s="8" t="s">
        <v>227</v>
      </c>
      <c r="B88" s="8"/>
      <c r="C88" s="8"/>
      <c r="D88" s="8"/>
      <c r="E88" s="8"/>
      <c r="F88" s="8"/>
    </row>
    <row r="90" ht="50" customHeight="1" spans="1:6" x14ac:dyDescent="0.25">
      <c r="A90" s="28" t="s">
        <v>228</v>
      </c>
      <c r="B90" s="28"/>
      <c r="C90" s="28"/>
      <c r="D90" s="28"/>
      <c r="E90" s="28"/>
      <c r="F90" s="28"/>
    </row>
  </sheetData>
  <mergeCells count="4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1:F21"/>
    <mergeCell ref="C22:F22"/>
    <mergeCell ref="C25:F25"/>
    <mergeCell ref="C26:F26"/>
    <mergeCell ref="C27:F27"/>
    <mergeCell ref="C28:F28"/>
    <mergeCell ref="C31:F31"/>
    <mergeCell ref="C32:F32"/>
    <mergeCell ref="C33:F33"/>
    <mergeCell ref="C36:F36"/>
    <mergeCell ref="C37:F37"/>
    <mergeCell ref="C38:F38"/>
    <mergeCell ref="C39:F39"/>
    <mergeCell ref="C40:F40"/>
    <mergeCell ref="C41:F41"/>
    <mergeCell ref="C42:F42"/>
    <mergeCell ref="C45:F45"/>
    <mergeCell ref="C46:F46"/>
    <mergeCell ref="C47:F47"/>
    <mergeCell ref="C58:F58"/>
    <mergeCell ref="C59:F59"/>
    <mergeCell ref="C62:F62"/>
    <mergeCell ref="C63:F63"/>
    <mergeCell ref="C64:F64"/>
    <mergeCell ref="C65:F65"/>
    <mergeCell ref="C66:F66"/>
    <mergeCell ref="C67:F67"/>
    <mergeCell ref="C68:F68"/>
    <mergeCell ref="C69:F69"/>
    <mergeCell ref="C70:F70"/>
    <mergeCell ref="C71:F71"/>
    <mergeCell ref="C72:F72"/>
    <mergeCell ref="C80:F80"/>
    <mergeCell ref="C81:F81"/>
    <mergeCell ref="A88:F88"/>
    <mergeCell ref="A90:F9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2026-06-08T17:46:23Z</dcterms:created>
  <dcterms:modified xsi:type="dcterms:W3CDTF">2026-06-08T17:46:23Z</dcterms:modified>
</cp:coreProperties>
</file>