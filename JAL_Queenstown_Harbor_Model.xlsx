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/>
</workbook>
</file>

<file path=xl/sharedStrings.xml><?xml version="1.0" encoding="utf-8"?>
<sst xmlns="http://schemas.openxmlformats.org/spreadsheetml/2006/main" count="224" uniqueCount="208">
  <si>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</si>
  <si>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</si>
  <si>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</si>
  <si>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</si>
  <si>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</si>
  <si>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</si>
  <si>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</si>
  <si>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</si>
  <si>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</si>
  <si>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</si>
  <si>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</si>
  <si>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</si>
  <si>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</si>
  <si>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</si>
  <si>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</si>
  <si>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</si>
  <si>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</si>
  <si>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</si>
  <si>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</si>
  <si>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</si>
  <si>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</si>
  <si>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</si>
  <si>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</si>
  <si>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</si>
  <si>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</si>
  <si>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</si>
  <si>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</si>
  <si>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</si>
  <si>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 (60% LTC)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</si>
  <si>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</si>
  <si>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</si>
  <si>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</si>
  <si>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</si>
  <si>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</si>
  <si>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</si>
  <si>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</si>
  <si>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</si>
  <si>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</si>
  <si>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</si>
  <si>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</si>
  <si>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</si>
  <si>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</si>
  <si>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</si>
  <si>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</si>
  <si>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</si>
  <si>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</si>
  <si>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</si>
  <si>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</si>
  <si>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</si>
  <si>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</si>
  <si>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</si>
  <si>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</si>
  <si>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</si>
  <si>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</si>
  <si>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</si>
  <si>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</si>
  <si>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</si>
  <si>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</si>
  <si>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</si>
  <si>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</si>
  <si>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</si>
  <si>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</si>
  <si>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</si>
  <si>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</si>
  <si>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</si>
  <si>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</si>
  <si>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</si>
  <si>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</si>
  <si>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</si>
  <si>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</si>
  <si>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</si>
  <si>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</si>
  <si>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</si>
  <si>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</si>
  <si>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</si>
  <si>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</si>
  <si>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</si>
  <si>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</si>
  <si>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</si>
  <si>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</si>
  <si>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</si>
  <si>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</si>
  <si>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LEVERED EQUITY RETURN  (70% LTC development loan)</t>
  </si>
  <si>
    <t>Project equity cash flow</t>
  </si>
  <si>
    <t>Project equity IRR (levered)</t>
  </si>
  <si>
    <t>equity ~$11M (60% LTC); lot sales Yr 2–4. Unlevered project IRR ~24%.</t>
  </si>
  <si>
    <t>PROMOTE WATERFALL  (LP 90% / GP 10% · 8% pref · 80/20 to 15% · 70/30 to 20% · 60/40 above)</t>
  </si>
  <si>
    <t>LP cash flow (after promote)</t>
  </si>
  <si>
    <t>GP cash flow (co-invest + promote)</t>
  </si>
  <si>
    <t>LP IRR (after promote)</t>
  </si>
  <si>
    <t>what the equity investors earn</t>
  </si>
  <si>
    <t>GP IRR (co-invest + carried interest)</t>
  </si>
  <si>
    <t>sponsor group — Capital H6 / Bob / JAL + partners</t>
  </si>
  <si>
    <t>GP net profit (co-invest + promote)</t>
  </si>
  <si>
    <t>GP group total — JAL earns a share</t>
  </si>
  <si>
    <t>LP IRR SENSITIVITY  (finished lot price  ×  LTC)</t>
  </si>
  <si>
    <t>Lot price  /  LTC</t>
  </si>
  <si>
    <t>$130K / lot</t>
  </si>
  <si>
    <t>$150K / lot</t>
  </si>
  <si>
    <t>$170K / lot</t>
  </si>
  <si>
    <t>LP IRR after the 8% pref + tiered promote. Base case = $150K lot / 60% LTC (highlighted). Each cell re-runs the full waterfall.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</si>
  <si>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</si>
  <si>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</si>
  <si>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VIVAMEE-led resort; JAL as capital partner. Income / hold play — develops to ~cost; returns come from cash flow + appreciation.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</si>
  <si>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</si>
  <si>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</si>
  <si>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</si>
  <si>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</si>
  <si>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</si>
  <si>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</si>
  <si>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</si>
  <si>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</si>
  <si>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</si>
  <si>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</si>
  <si>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</si>
  <si>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</si>
  <si>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</si>
  <si>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</si>
  <si>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</si>
  <si>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</si>
  <si>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</si>
  <si>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</si>
  <si>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</si>
  <si>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</si>
  <si>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</si>
  <si>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</si>
  <si>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</t>
  </si>
  <si>
    <t>hotel cap ~8% (2025)</t>
  </si>
  <si>
    <t>Construction loan (% of cost)</t>
  </si>
  <si>
    <t>Loan interest rate</t>
  </si>
  <si>
    <t>NOI growth / yr</t>
  </si>
  <si>
    <t>HOTEL</t>
  </si>
  <si>
    <t>Hotel development cost</t>
  </si>
  <si>
    <t>keys x cost/key</t>
  </si>
  <si>
    <t>Room revenue</t>
  </si>
  <si>
    <t>keys x 365 x ADR x occ</t>
  </si>
  <si>
    <t>Total hotel revenue</t>
  </si>
  <si>
    <t>x revenue multiple</t>
  </si>
  <si>
    <t>Hotel NOI (stabilized)</t>
  </si>
  <si>
    <t>x NOI margin</t>
  </si>
  <si>
    <t>RESTAURANTS  (a suite of nice restaurants)</t>
  </si>
  <si>
    <t>Restaurant development cost</t>
  </si>
  <si>
    <t>SF x cost/SF</t>
  </si>
  <si>
    <t>Restaurant sales</t>
  </si>
  <si>
    <t>SF x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</si>
  <si>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</si>
  <si>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</si>
  <si>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</si>
  <si>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</si>
  <si>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</si>
  <si>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</si>
  <si>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</si>
  <si>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</si>
  <si>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</si>
  <si>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</si>
  <si>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</si>
  <si>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- loan</t>
  </si>
  <si>
    <t>Cash-on-cash (stabilized, levered)</t>
  </si>
  <si>
    <t>(NOI - interest) / equity</t>
  </si>
  <si>
    <t>EXIT  &amp;  RETURNS  (7-year hold)</t>
  </si>
  <si>
    <t>Year-7 NOI (3%/yr growth)</t>
  </si>
  <si>
    <t>stabilized x growth</t>
  </si>
  <si>
    <t>Exit value (@ exit cap)</t>
  </si>
  <si>
    <t>Year-7 NOI / cap</t>
  </si>
  <si>
    <t>Exit equity (value - loan)</t>
  </si>
  <si>
    <t>net of loan</t>
  </si>
  <si>
    <t>EQUITY CASH FLOW (levered, $) &amp; RETURNS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</si>
  <si>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</si>
  <si>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</si>
  <si>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</si>
  <si>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</si>
  <si>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</si>
  <si>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</si>
  <si>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</si>
  <si>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</si>
  <si>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Equity multiple (7-yr)</t>
  </si>
  <si>
    <t>distributions / equity</t>
  </si>
  <si>
    <t>Project IRR (levered, 7-yr)</t>
  </si>
  <si>
    <t>equity cash flows Yr 0–7</t>
  </si>
  <si>
    <t>BUILD-TO-CORE CASE  (path to mid–high 20s IRR — recap / sell at stabilization)</t>
  </si>
  <si>
    <t>NOI uplift — premium execution</t>
  </si>
  <si>
    <t>VIVAMEE experiential: ADR ~$275, occ ~63%, strong F&amp;B / events</t>
  </si>
  <si>
    <t>Premium stabilized NOI</t>
  </si>
  <si>
    <t>base NOI x (1 + uplift)</t>
  </si>
  <si>
    <t>Exit cap (build-to-core)</t>
  </si>
  <si>
    <t>trophy / experiential resort</t>
  </si>
  <si>
    <t>Leverage (% of cost)</t>
  </si>
  <si>
    <t>construction loan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</si>
  <si>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</si>
  <si>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</si>
  <si>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</si>
  <si>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</si>
  <si>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</si>
  <si>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</si>
  <si>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</si>
  <si>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at recap / sale</t>
  </si>
  <si>
    <t>BUILD-TO-CORE EQUITY CASH FLOW (Yr 0–4,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</si>
  <si>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</si>
  <si>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</si>
  <si>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</si>
  <si>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</si>
  <si>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</si>
  <si>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</si>
  <si>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</si>
  <si>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</si>
  <si>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</si>
  <si>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model.</t>
  </si>
  <si>
    <t>Illustrative. Hospitality is an income / hold play: it develops to roughly cost, so the return is durable cash flow + appreciation (lower IRR than the Phase 1 land, longer hold). VIVAMEE operates; JAL is the capital partner (debt + equity placement fees, co-invest, promote).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</si>
</sst>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9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b/>
      <color rgb="FFFFFFFF"/>
      <sz val="9"/>
    </font>
    <font>
      <b/>
      <color rgb="FFFFFFFF"/>
      <sz val="10"/>
    </font>
    <font>
      <i/>
      <color rgb="FF6B5A6B"/>
      <sz val="8.5"/>
    </font>
    <font>
      <color rgb="FF0B163C"/>
      <sz val="10"/>
      <name val="Calibri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166" fontId="7" fillId="0" borderId="0" xfId="0" applyNumberFormat="1" applyFont="1" applyAlignment="1">
      <alignment horizontal="right"/>
    </xf>
    <xf numFmtId="0" fontId="14" fillId="2" borderId="0" xfId="0" applyFont="1" applyFill="1"/>
    <xf numFmtId="9" fontId="15" fillId="2" borderId="0" xfId="0" applyNumberFormat="1" applyFont="1" applyFill="1" applyAlignment="1">
      <alignment horizontal="center"/>
    </xf>
    <xf numFmtId="166" fontId="10" fillId="0" borderId="0" xfId="0" applyNumberFormat="1" applyFont="1" applyAlignment="1">
      <alignment horizontal="center"/>
    </xf>
    <xf numFmtId="166" fontId="12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5" fontId="17" fillId="0" borderId="0" xfId="0" applyNumberFormat="1" applyFont="1" applyAlignment="1">
      <alignment horizontal="right"/>
    </xf>
    <xf numFmtId="166" fontId="15" fillId="2" borderId="0" xfId="0" applyNumberFormat="1" applyFont="1" applyFill="1" applyAlignment="1">
      <alignment horizontal="center"/>
    </xf>
    <xf numFmtId="0" fontId="1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spans="1:6" x14ac:dyDescent="0.25">
      <c r="A54" s="4" t="s">
        <v>82</v>
      </c>
      <c r="B54" s="5"/>
      <c r="C54" s="5"/>
      <c r="D54" s="5"/>
      <c r="E54" s="5"/>
      <c r="F54" s="5"/>
    </row>
    <row r="55" spans="1:6" x14ac:dyDescent="0.25">
      <c r="A55" t="s">
        <v>73</v>
      </c>
      <c r="B55" s="18" t="s">
        <v>74</v>
      </c>
      <c r="C55" s="18" t="s">
        <v>75</v>
      </c>
      <c r="D55" s="18" t="s">
        <v>76</v>
      </c>
      <c r="E55" s="18" t="s">
        <v>77</v>
      </c>
      <c r="F55" s="18" t="s">
        <v>78</v>
      </c>
    </row>
    <row r="56" spans="1:6" x14ac:dyDescent="0.25">
      <c r="A56" s="19" t="s">
        <v>83</v>
      </c>
      <c r="B56" s="20">
        <v>-6661000</v>
      </c>
      <c r="C56" s="20">
        <v>-4313000</v>
      </c>
      <c r="D56" s="20">
        <v>2247000</v>
      </c>
      <c r="E56" s="20">
        <v>7840000</v>
      </c>
      <c r="F56" s="20">
        <v>15451000</v>
      </c>
    </row>
    <row r="57" spans="1:6" x14ac:dyDescent="0.25">
      <c r="A57" s="21" t="s">
        <v>84</v>
      </c>
      <c r="B57" s="22">
        <f>IRR(B56:F56)</f>
        <v>0.3138548910601976</v>
      </c>
      <c r="C57" s="23" t="s">
        <v>85</v>
      </c>
      <c r="D57" s="23"/>
      <c r="E57" s="23"/>
      <c r="F57" s="23"/>
    </row>
    <row r="59" spans="1:6" x14ac:dyDescent="0.25">
      <c r="A59" s="4" t="s">
        <v>86</v>
      </c>
      <c r="B59" s="5"/>
      <c r="C59" s="5"/>
      <c r="D59" s="5"/>
      <c r="E59" s="5"/>
      <c r="F59" s="5"/>
    </row>
    <row r="60" spans="1:6" x14ac:dyDescent="0.25">
      <c r="A60" s="19" t="s">
        <v>87</v>
      </c>
      <c r="B60" s="20">
        <v>-5994900</v>
      </c>
      <c r="C60" s="20">
        <v>-3881700</v>
      </c>
      <c r="D60" s="20">
        <v>2022300</v>
      </c>
      <c r="E60" s="20">
        <v>7056000</v>
      </c>
      <c r="F60" s="20">
        <v>11235967</v>
      </c>
    </row>
    <row r="61" spans="1:6" x14ac:dyDescent="0.25">
      <c r="A61" s="19" t="s">
        <v>88</v>
      </c>
      <c r="B61" s="20">
        <v>-666100</v>
      </c>
      <c r="C61" s="20">
        <v>-431300</v>
      </c>
      <c r="D61" s="20">
        <v>224700</v>
      </c>
      <c r="E61" s="20">
        <v>784000</v>
      </c>
      <c r="F61" s="20">
        <v>4215033</v>
      </c>
    </row>
    <row r="62" spans="1:6" x14ac:dyDescent="0.25">
      <c r="A62" s="12" t="s">
        <v>89</v>
      </c>
      <c r="B62" s="24">
        <f>IRR(B60:F60)</f>
        <v>0.26842143062633383</v>
      </c>
      <c r="C62" s="8" t="s">
        <v>90</v>
      </c>
      <c r="D62" s="8"/>
      <c r="E62" s="8"/>
      <c r="F62" s="8"/>
    </row>
    <row r="63" spans="1:6" x14ac:dyDescent="0.25">
      <c r="A63" s="12" t="s">
        <v>91</v>
      </c>
      <c r="B63" s="11">
        <f>IRR(B61:F61)</f>
        <v>0.593093661898916</v>
      </c>
      <c r="C63" s="8" t="s">
        <v>92</v>
      </c>
      <c r="D63" s="8"/>
      <c r="E63" s="8"/>
      <c r="F63" s="8"/>
    </row>
    <row r="64" spans="1:6" x14ac:dyDescent="0.25">
      <c r="A64" s="12" t="s">
        <v>93</v>
      </c>
      <c r="B64" s="10">
        <f>SUM(B61:F61)</f>
        <v>4126333</v>
      </c>
      <c r="C64" s="8" t="s">
        <v>94</v>
      </c>
      <c r="D64" s="8"/>
      <c r="E64" s="8"/>
      <c r="F64" s="8"/>
    </row>
    <row r="66" spans="1:6" x14ac:dyDescent="0.25">
      <c r="A66" s="4" t="s">
        <v>95</v>
      </c>
      <c r="B66" s="5"/>
      <c r="C66" s="5"/>
      <c r="D66" s="5"/>
      <c r="E66" s="5"/>
      <c r="F66" s="5"/>
    </row>
    <row r="67" spans="1:5" x14ac:dyDescent="0.25">
      <c r="A67" s="25" t="s">
        <v>96</v>
      </c>
      <c r="B67" s="26">
        <v>0.55</v>
      </c>
      <c r="C67" s="26">
        <v>0.6</v>
      </c>
      <c r="D67" s="26">
        <v>0.65</v>
      </c>
      <c r="E67" s="26">
        <v>0.7</v>
      </c>
    </row>
    <row r="68" spans="1:5" x14ac:dyDescent="0.25">
      <c r="A68" s="21" t="s">
        <v>97</v>
      </c>
      <c r="B68" s="27">
        <v>0.18078353298753924</v>
      </c>
      <c r="C68" s="27">
        <v>0.19735068232227648</v>
      </c>
      <c r="D68" s="27">
        <v>0.21556470054605692</v>
      </c>
      <c r="E68" s="27">
        <v>0.23872937985286258</v>
      </c>
    </row>
    <row r="69" spans="1:5" x14ac:dyDescent="0.25">
      <c r="A69" s="21" t="s">
        <v>98</v>
      </c>
      <c r="B69" s="27">
        <v>0.24776127543856818</v>
      </c>
      <c r="C69" s="28">
        <v>0.26841642110322594</v>
      </c>
      <c r="D69" s="27">
        <v>0.2942311832200314</v>
      </c>
      <c r="E69" s="27">
        <v>0.3275162111848672</v>
      </c>
    </row>
    <row r="70" spans="1:5" x14ac:dyDescent="0.25">
      <c r="A70" s="21" t="s">
        <v>99</v>
      </c>
      <c r="B70" s="27">
        <v>0.3066500722851123</v>
      </c>
      <c r="C70" s="27">
        <v>0.33287240798168527</v>
      </c>
      <c r="D70" s="27">
        <v>0.36543747436242235</v>
      </c>
      <c r="E70" s="27">
        <v>0.4065234048048615</v>
      </c>
    </row>
    <row r="71" spans="1:6" x14ac:dyDescent="0.25">
      <c r="A71" s="23" t="s">
        <v>100</v>
      </c>
      <c r="B71" s="23"/>
      <c r="C71" s="23"/>
      <c r="D71" s="23"/>
      <c r="E71" s="23"/>
      <c r="F71" s="23"/>
    </row>
    <row r="73" ht="42" customHeight="1" spans="1:6" x14ac:dyDescent="0.25">
      <c r="A73" s="29" t="s">
        <v>101</v>
      </c>
      <c r="B73" s="29"/>
      <c r="C73" s="29"/>
      <c r="D73" s="29"/>
      <c r="E73" s="29"/>
      <c r="F73" s="29"/>
    </row>
  </sheetData>
  <mergeCells count="3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C57:F57"/>
    <mergeCell ref="C62:F62"/>
    <mergeCell ref="C63:F63"/>
    <mergeCell ref="C64:F64"/>
    <mergeCell ref="A71:F71"/>
    <mergeCell ref="A73:F7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102</v>
      </c>
      <c r="B1" s="2"/>
      <c r="C1" s="2"/>
      <c r="D1" s="2"/>
      <c r="E1" s="2"/>
      <c r="F1" s="2"/>
    </row>
    <row r="2" spans="1:6" x14ac:dyDescent="0.25">
      <c r="A2" s="3" t="s">
        <v>103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104</v>
      </c>
      <c r="B5" s="7">
        <v>100</v>
      </c>
      <c r="C5" s="8" t="s">
        <v>105</v>
      </c>
      <c r="D5" s="8"/>
      <c r="E5" s="8"/>
      <c r="F5" s="8"/>
    </row>
    <row r="6" spans="1:6" x14ac:dyDescent="0.25">
      <c r="A6" s="6" t="s">
        <v>106</v>
      </c>
      <c r="B6" s="10">
        <v>325000</v>
      </c>
      <c r="C6" s="8" t="s">
        <v>107</v>
      </c>
      <c r="D6" s="8"/>
      <c r="E6" s="8"/>
      <c r="F6" s="8"/>
    </row>
    <row r="7" spans="1:6" x14ac:dyDescent="0.25">
      <c r="A7" s="6" t="s">
        <v>108</v>
      </c>
      <c r="B7" s="10">
        <v>250</v>
      </c>
      <c r="C7" s="8" t="s">
        <v>109</v>
      </c>
      <c r="D7" s="8"/>
      <c r="E7" s="8"/>
      <c r="F7" s="8"/>
    </row>
    <row r="8" spans="1:6" x14ac:dyDescent="0.25">
      <c r="A8" s="6" t="s">
        <v>110</v>
      </c>
      <c r="B8" s="11">
        <v>0.62</v>
      </c>
      <c r="C8" s="8" t="s">
        <v>111</v>
      </c>
      <c r="D8" s="8"/>
      <c r="E8" s="8"/>
      <c r="F8" s="8"/>
    </row>
    <row r="9" spans="1:6" x14ac:dyDescent="0.25">
      <c r="A9" s="6" t="s">
        <v>112</v>
      </c>
      <c r="B9" s="30">
        <v>1.6</v>
      </c>
      <c r="C9" s="8" t="s">
        <v>113</v>
      </c>
      <c r="D9" s="8"/>
      <c r="E9" s="8"/>
      <c r="F9" s="8"/>
    </row>
    <row r="10" spans="1:6" x14ac:dyDescent="0.25">
      <c r="A10" s="6" t="s">
        <v>114</v>
      </c>
      <c r="B10" s="11">
        <v>0.31</v>
      </c>
      <c r="C10" s="8" t="s">
        <v>115</v>
      </c>
      <c r="D10" s="8"/>
      <c r="E10" s="8"/>
      <c r="F10" s="8"/>
    </row>
    <row r="11" spans="1:6" x14ac:dyDescent="0.25">
      <c r="A11" s="6" t="s">
        <v>116</v>
      </c>
      <c r="B11" s="7">
        <v>16000</v>
      </c>
      <c r="C11" s="8" t="s">
        <v>117</v>
      </c>
      <c r="D11" s="8"/>
      <c r="E11" s="8"/>
      <c r="F11" s="8"/>
    </row>
    <row r="12" spans="1:6" x14ac:dyDescent="0.25">
      <c r="A12" s="6" t="s">
        <v>118</v>
      </c>
      <c r="B12" s="10">
        <v>550</v>
      </c>
      <c r="C12" s="8" t="s">
        <v>119</v>
      </c>
      <c r="D12" s="8"/>
      <c r="E12" s="8"/>
      <c r="F12" s="8"/>
    </row>
    <row r="13" spans="1:6" x14ac:dyDescent="0.25">
      <c r="A13" s="6" t="s">
        <v>120</v>
      </c>
      <c r="B13" s="10">
        <v>700</v>
      </c>
      <c r="C13" s="8" t="s">
        <v>121</v>
      </c>
      <c r="D13" s="8"/>
      <c r="E13" s="8"/>
      <c r="F13" s="8"/>
    </row>
    <row r="14" spans="1:6" x14ac:dyDescent="0.25">
      <c r="A14" s="6" t="s">
        <v>122</v>
      </c>
      <c r="B14" s="11">
        <v>0.09</v>
      </c>
      <c r="C14" s="8" t="s">
        <v>123</v>
      </c>
      <c r="D14" s="8"/>
      <c r="E14" s="8"/>
      <c r="F14" s="8"/>
    </row>
    <row r="15" spans="1:6" x14ac:dyDescent="0.25">
      <c r="A15" s="6" t="s">
        <v>124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125</v>
      </c>
      <c r="B16" s="10">
        <v>3700000</v>
      </c>
    </row>
    <row r="17" spans="1:6" x14ac:dyDescent="0.25">
      <c r="A17" s="6" t="s">
        <v>126</v>
      </c>
      <c r="B17" s="11">
        <v>0.08</v>
      </c>
      <c r="C17" s="8" t="s">
        <v>127</v>
      </c>
      <c r="D17" s="8"/>
      <c r="E17" s="8"/>
      <c r="F17" s="8"/>
    </row>
    <row r="18" spans="1:2" x14ac:dyDescent="0.25">
      <c r="A18" s="6" t="s">
        <v>128</v>
      </c>
      <c r="B18" s="11">
        <v>0.6</v>
      </c>
    </row>
    <row r="19" spans="1:2" x14ac:dyDescent="0.25">
      <c r="A19" s="6" t="s">
        <v>129</v>
      </c>
      <c r="B19" s="11">
        <v>0.07</v>
      </c>
    </row>
    <row r="20" spans="1:2" x14ac:dyDescent="0.25">
      <c r="A20" s="6" t="s">
        <v>130</v>
      </c>
      <c r="B20" s="11">
        <v>0.03</v>
      </c>
    </row>
    <row r="22" spans="1:6" x14ac:dyDescent="0.25">
      <c r="A22" s="4" t="s">
        <v>131</v>
      </c>
      <c r="B22" s="5"/>
      <c r="C22" s="5"/>
      <c r="D22" s="5"/>
      <c r="E22" s="5"/>
      <c r="F22" s="5"/>
    </row>
    <row r="23" spans="1:6" x14ac:dyDescent="0.25">
      <c r="A23" s="6" t="s">
        <v>132</v>
      </c>
      <c r="B23" s="10">
        <f>B5*B6</f>
        <v>32500000</v>
      </c>
      <c r="C23" s="8" t="s">
        <v>133</v>
      </c>
      <c r="D23" s="8"/>
      <c r="E23" s="8"/>
      <c r="F23" s="8"/>
    </row>
    <row r="24" spans="1:6" x14ac:dyDescent="0.25">
      <c r="A24" s="6" t="s">
        <v>134</v>
      </c>
      <c r="B24" s="10">
        <f>B5*365*B7*B8</f>
        <v>5657500</v>
      </c>
      <c r="C24" s="8" t="s">
        <v>135</v>
      </c>
      <c r="D24" s="8"/>
      <c r="E24" s="8"/>
      <c r="F24" s="8"/>
    </row>
    <row r="25" spans="1:6" x14ac:dyDescent="0.25">
      <c r="A25" s="6" t="s">
        <v>136</v>
      </c>
      <c r="B25" s="10">
        <f>B24*B9</f>
        <v>9052000</v>
      </c>
      <c r="C25" s="8" t="s">
        <v>137</v>
      </c>
      <c r="D25" s="8"/>
      <c r="E25" s="8"/>
      <c r="F25" s="8"/>
    </row>
    <row r="26" spans="1:6" x14ac:dyDescent="0.25">
      <c r="A26" s="12" t="s">
        <v>138</v>
      </c>
      <c r="B26" s="14">
        <f>B25*B10</f>
        <v>2806120</v>
      </c>
      <c r="C26" s="8" t="s">
        <v>139</v>
      </c>
      <c r="D26" s="8"/>
      <c r="E26" s="8"/>
      <c r="F26" s="8"/>
    </row>
    <row r="28" spans="1:6" x14ac:dyDescent="0.25">
      <c r="A28" s="4" t="s">
        <v>140</v>
      </c>
      <c r="B28" s="5"/>
      <c r="C28" s="5"/>
      <c r="D28" s="5"/>
      <c r="E28" s="5"/>
      <c r="F28" s="5"/>
    </row>
    <row r="29" spans="1:6" x14ac:dyDescent="0.25">
      <c r="A29" s="6" t="s">
        <v>141</v>
      </c>
      <c r="B29" s="10">
        <f>B11*B12</f>
        <v>8800000</v>
      </c>
      <c r="C29" s="8" t="s">
        <v>142</v>
      </c>
      <c r="D29" s="8"/>
      <c r="E29" s="8"/>
      <c r="F29" s="8"/>
    </row>
    <row r="30" spans="1:6" x14ac:dyDescent="0.25">
      <c r="A30" s="6" t="s">
        <v>143</v>
      </c>
      <c r="B30" s="10">
        <f>B11*B13</f>
        <v>11200000</v>
      </c>
      <c r="C30" s="8" t="s">
        <v>144</v>
      </c>
      <c r="D30" s="8"/>
      <c r="E30" s="8"/>
      <c r="F30" s="8"/>
    </row>
    <row r="31" spans="1:6" x14ac:dyDescent="0.25">
      <c r="A31" s="12" t="s">
        <v>145</v>
      </c>
      <c r="B31" s="14">
        <f>B30*B14</f>
        <v>1008000</v>
      </c>
      <c r="C31" s="8" t="s">
        <v>123</v>
      </c>
      <c r="D31" s="8"/>
      <c r="E31" s="8"/>
      <c r="F31" s="8"/>
    </row>
    <row r="33" spans="1:6" x14ac:dyDescent="0.25">
      <c r="A33" s="4" t="s">
        <v>146</v>
      </c>
      <c r="B33" s="5"/>
      <c r="C33" s="5"/>
      <c r="D33" s="5"/>
      <c r="E33" s="5"/>
      <c r="F33" s="5"/>
    </row>
    <row r="34" spans="1:6" x14ac:dyDescent="0.25">
      <c r="A34" s="15" t="s">
        <v>147</v>
      </c>
      <c r="B34" s="16">
        <f>B23+B29+B15+B16</f>
        <v>47000000</v>
      </c>
      <c r="C34" s="8" t="s">
        <v>148</v>
      </c>
      <c r="D34" s="8"/>
      <c r="E34" s="8"/>
      <c r="F34" s="8"/>
    </row>
    <row r="35" spans="1:6" x14ac:dyDescent="0.25">
      <c r="A35" s="15" t="s">
        <v>149</v>
      </c>
      <c r="B35" s="16">
        <f>B26+B31</f>
        <v>3814120</v>
      </c>
      <c r="C35" s="8" t="s">
        <v>150</v>
      </c>
      <c r="D35" s="8"/>
      <c r="E35" s="8"/>
      <c r="F35" s="8"/>
    </row>
    <row r="36" spans="1:6" x14ac:dyDescent="0.25">
      <c r="A36" s="12" t="s">
        <v>151</v>
      </c>
      <c r="B36" s="11">
        <f>B35/B34</f>
        <v>0.0811</v>
      </c>
      <c r="C36" s="8" t="s">
        <v>152</v>
      </c>
      <c r="D36" s="8"/>
      <c r="E36" s="8"/>
      <c r="F36" s="8"/>
    </row>
    <row r="37" spans="1:6" x14ac:dyDescent="0.25">
      <c r="A37" s="6" t="s">
        <v>153</v>
      </c>
      <c r="B37" s="10">
        <f>B34*B18</f>
        <v>28200000</v>
      </c>
      <c r="C37" s="8" t="s">
        <v>154</v>
      </c>
      <c r="D37" s="8"/>
      <c r="E37" s="8"/>
      <c r="F37" s="8"/>
    </row>
    <row r="38" spans="1:6" x14ac:dyDescent="0.25">
      <c r="A38" s="6" t="s">
        <v>155</v>
      </c>
      <c r="B38" s="10">
        <f>B34-B37</f>
        <v>18800000</v>
      </c>
      <c r="C38" s="8" t="s">
        <v>156</v>
      </c>
      <c r="D38" s="8"/>
      <c r="E38" s="8"/>
      <c r="F38" s="8"/>
    </row>
    <row r="39" spans="1:6" x14ac:dyDescent="0.25">
      <c r="A39" s="6" t="s">
        <v>157</v>
      </c>
      <c r="B39" s="11">
        <f>(B35-B37*B19)/B38</f>
        <v>0.098</v>
      </c>
      <c r="C39" s="8" t="s">
        <v>158</v>
      </c>
      <c r="D39" s="8"/>
      <c r="E39" s="8"/>
      <c r="F39" s="8"/>
    </row>
    <row r="41" spans="1:6" x14ac:dyDescent="0.25">
      <c r="A41" s="4" t="s">
        <v>159</v>
      </c>
      <c r="B41" s="5"/>
      <c r="C41" s="5"/>
      <c r="D41" s="5"/>
      <c r="E41" s="5"/>
      <c r="F41" s="5"/>
    </row>
    <row r="42" spans="1:6" x14ac:dyDescent="0.25">
      <c r="A42" s="6" t="s">
        <v>160</v>
      </c>
      <c r="B42" s="10">
        <f>B35*(1+B20)^4</f>
        <v>4292800</v>
      </c>
      <c r="C42" s="8" t="s">
        <v>161</v>
      </c>
      <c r="D42" s="8"/>
      <c r="E42" s="8"/>
      <c r="F42" s="8"/>
    </row>
    <row r="43" spans="1:6" x14ac:dyDescent="0.25">
      <c r="A43" s="12" t="s">
        <v>162</v>
      </c>
      <c r="B43" s="10">
        <f>B42/B17</f>
        <v>53660000</v>
      </c>
      <c r="C43" s="8" t="s">
        <v>163</v>
      </c>
      <c r="D43" s="8"/>
      <c r="E43" s="8"/>
      <c r="F43" s="8"/>
    </row>
    <row r="44" spans="1:6" x14ac:dyDescent="0.25">
      <c r="A44" s="6" t="s">
        <v>164</v>
      </c>
      <c r="B44" s="10">
        <f>B43-B37</f>
        <v>25460000</v>
      </c>
      <c r="C44" s="8" t="s">
        <v>165</v>
      </c>
      <c r="D44" s="8"/>
      <c r="E44" s="8"/>
      <c r="F44" s="8"/>
    </row>
    <row r="46" spans="1:6" x14ac:dyDescent="0.25">
      <c r="A46" s="4" t="s">
        <v>166</v>
      </c>
      <c r="B46" s="5"/>
      <c r="C46" s="5"/>
      <c r="D46" s="5"/>
      <c r="E46" s="5"/>
      <c r="F46" s="5"/>
    </row>
    <row r="47" spans="1:2" x14ac:dyDescent="0.25">
      <c r="A47" s="6" t="s">
        <v>167</v>
      </c>
      <c r="B47" s="31">
        <v>-9400000</v>
      </c>
    </row>
    <row r="48" spans="1:2" x14ac:dyDescent="0.25">
      <c r="A48" s="6" t="s">
        <v>168</v>
      </c>
      <c r="B48" s="31">
        <v>-9400000</v>
      </c>
    </row>
    <row r="49" spans="1:2" x14ac:dyDescent="0.25">
      <c r="A49" s="6" t="s">
        <v>169</v>
      </c>
      <c r="B49" s="31">
        <v>900000</v>
      </c>
    </row>
    <row r="50" spans="1:2" x14ac:dyDescent="0.25">
      <c r="A50" s="6" t="s">
        <v>170</v>
      </c>
      <c r="B50" s="31">
        <v>1840000</v>
      </c>
    </row>
    <row r="51" spans="1:2" x14ac:dyDescent="0.25">
      <c r="A51" s="6" t="s">
        <v>171</v>
      </c>
      <c r="B51" s="31">
        <v>1900000</v>
      </c>
    </row>
    <row r="52" spans="1:2" x14ac:dyDescent="0.25">
      <c r="A52" s="6" t="s">
        <v>172</v>
      </c>
      <c r="B52" s="31">
        <v>1950000</v>
      </c>
    </row>
    <row r="53" spans="1:2" x14ac:dyDescent="0.25">
      <c r="A53" s="6" t="s">
        <v>173</v>
      </c>
      <c r="B53" s="31">
        <v>2010000</v>
      </c>
    </row>
    <row r="54" spans="1:2" x14ac:dyDescent="0.25">
      <c r="A54" s="6" t="s">
        <v>174</v>
      </c>
      <c r="B54" s="31">
        <v>27530000</v>
      </c>
    </row>
    <row r="55" spans="1:6" x14ac:dyDescent="0.25">
      <c r="A55" s="12" t="s">
        <v>175</v>
      </c>
      <c r="B55" s="17">
        <f>SUM(B49:B54)/-(B47+B48)</f>
        <v>1.9218085106382978</v>
      </c>
      <c r="C55" s="8" t="s">
        <v>176</v>
      </c>
      <c r="D55" s="8"/>
      <c r="E55" s="8"/>
      <c r="F55" s="8"/>
    </row>
    <row r="56" spans="1:6" x14ac:dyDescent="0.25">
      <c r="A56" s="12" t="s">
        <v>177</v>
      </c>
      <c r="B56" s="24">
        <f>IRR(B47:B54)</f>
        <v>0.12022015409362574</v>
      </c>
      <c r="C56" s="8" t="s">
        <v>178</v>
      </c>
      <c r="D56" s="8"/>
      <c r="E56" s="8"/>
      <c r="F56" s="8"/>
    </row>
    <row r="58" spans="1:6" x14ac:dyDescent="0.25">
      <c r="A58" s="4" t="s">
        <v>179</v>
      </c>
      <c r="B58" s="5"/>
      <c r="C58" s="5"/>
      <c r="D58" s="5"/>
      <c r="E58" s="5"/>
      <c r="F58" s="5"/>
    </row>
    <row r="59" spans="1:6" x14ac:dyDescent="0.25">
      <c r="A59" s="6" t="s">
        <v>180</v>
      </c>
      <c r="B59" s="11">
        <v>0.22</v>
      </c>
      <c r="C59" s="8" t="s">
        <v>181</v>
      </c>
      <c r="D59" s="8"/>
      <c r="E59" s="8"/>
      <c r="F59" s="8"/>
    </row>
    <row r="60" spans="1:6" x14ac:dyDescent="0.25">
      <c r="A60" s="12" t="s">
        <v>182</v>
      </c>
      <c r="B60" s="14">
        <f>B35*(1+B59)</f>
        <v>4653226</v>
      </c>
      <c r="C60" s="8" t="s">
        <v>183</v>
      </c>
      <c r="D60" s="8"/>
      <c r="E60" s="8"/>
      <c r="F60" s="8"/>
    </row>
    <row r="61" spans="1:6" x14ac:dyDescent="0.25">
      <c r="A61" s="6" t="s">
        <v>184</v>
      </c>
      <c r="B61" s="11">
        <v>0.075</v>
      </c>
      <c r="C61" s="8" t="s">
        <v>185</v>
      </c>
      <c r="D61" s="8"/>
      <c r="E61" s="8"/>
      <c r="F61" s="8"/>
    </row>
    <row r="62" spans="1:6" x14ac:dyDescent="0.25">
      <c r="A62" s="6" t="s">
        <v>186</v>
      </c>
      <c r="B62" s="11">
        <v>0.65</v>
      </c>
      <c r="C62" s="8" t="s">
        <v>187</v>
      </c>
      <c r="D62" s="8"/>
      <c r="E62" s="8"/>
      <c r="F62" s="8"/>
    </row>
    <row r="63" spans="1:6" x14ac:dyDescent="0.25">
      <c r="A63" s="12" t="s">
        <v>188</v>
      </c>
      <c r="B63" s="11">
        <f>B60/B34</f>
        <v>0.099</v>
      </c>
      <c r="C63" s="8" t="s">
        <v>189</v>
      </c>
      <c r="D63" s="8"/>
      <c r="E63" s="8"/>
      <c r="F63" s="8"/>
    </row>
    <row r="64" spans="1:6" x14ac:dyDescent="0.25">
      <c r="A64" s="12" t="s">
        <v>190</v>
      </c>
      <c r="B64" s="10">
        <f>B60/B61</f>
        <v>62043015</v>
      </c>
      <c r="C64" s="8" t="s">
        <v>191</v>
      </c>
      <c r="D64" s="8"/>
      <c r="E64" s="8"/>
      <c r="F64" s="8"/>
    </row>
    <row r="65" spans="1:6" x14ac:dyDescent="0.25">
      <c r="A65" s="6" t="s">
        <v>192</v>
      </c>
      <c r="B65" s="10">
        <f>B34*B62</f>
        <v>30550000</v>
      </c>
      <c r="C65" s="8" t="s">
        <v>193</v>
      </c>
      <c r="D65" s="8"/>
      <c r="E65" s="8"/>
      <c r="F65" s="8"/>
    </row>
    <row r="66" spans="1:6" x14ac:dyDescent="0.25">
      <c r="A66" s="6" t="s">
        <v>194</v>
      </c>
      <c r="B66" s="10">
        <f>B34-B65</f>
        <v>16450000</v>
      </c>
      <c r="C66" s="8" t="s">
        <v>156</v>
      </c>
      <c r="D66" s="8"/>
      <c r="E66" s="8"/>
      <c r="F66" s="8"/>
    </row>
    <row r="67" spans="1:6" x14ac:dyDescent="0.25">
      <c r="A67" s="6" t="s">
        <v>164</v>
      </c>
      <c r="B67" s="10">
        <f>B64-B65</f>
        <v>31493015</v>
      </c>
      <c r="C67" s="8" t="s">
        <v>195</v>
      </c>
      <c r="D67" s="8"/>
      <c r="E67" s="8"/>
      <c r="F67" s="8"/>
    </row>
    <row r="69" spans="1:6" x14ac:dyDescent="0.25">
      <c r="A69" s="4" t="s">
        <v>196</v>
      </c>
      <c r="B69" s="5"/>
      <c r="C69" s="5"/>
      <c r="D69" s="5"/>
      <c r="E69" s="5"/>
      <c r="F69" s="5"/>
    </row>
    <row r="70" spans="1:2" x14ac:dyDescent="0.25">
      <c r="A70" s="6" t="s">
        <v>167</v>
      </c>
      <c r="B70" s="31">
        <v>-8225000</v>
      </c>
    </row>
    <row r="71" spans="1:2" x14ac:dyDescent="0.25">
      <c r="A71" s="6" t="s">
        <v>168</v>
      </c>
      <c r="B71" s="31">
        <v>-8225000</v>
      </c>
    </row>
    <row r="72" spans="1:2" x14ac:dyDescent="0.25">
      <c r="A72" s="6" t="s">
        <v>169</v>
      </c>
      <c r="B72" s="31">
        <v>1000000</v>
      </c>
    </row>
    <row r="73" spans="1:2" x14ac:dyDescent="0.25">
      <c r="A73" s="6" t="s">
        <v>170</v>
      </c>
      <c r="B73" s="31">
        <v>2514726</v>
      </c>
    </row>
    <row r="74" spans="1:2" x14ac:dyDescent="0.25">
      <c r="A74" s="6" t="s">
        <v>171</v>
      </c>
      <c r="B74" s="31">
        <v>34007741</v>
      </c>
    </row>
    <row r="75" spans="1:6" x14ac:dyDescent="0.25">
      <c r="A75" s="12" t="s">
        <v>197</v>
      </c>
      <c r="B75" s="17">
        <f>SUM(B72:B74)/-(B70+B71)</f>
        <v>2.2810010334346504</v>
      </c>
      <c r="C75" s="8" t="s">
        <v>198</v>
      </c>
      <c r="D75" s="8"/>
      <c r="E75" s="8"/>
      <c r="F75" s="8"/>
    </row>
    <row r="76" spans="1:6" x14ac:dyDescent="0.25">
      <c r="A76" s="12" t="s">
        <v>199</v>
      </c>
      <c r="B76" s="24">
        <f>IRR(B70:B74)</f>
        <v>0.2755427433529377</v>
      </c>
      <c r="C76" s="8" t="s">
        <v>200</v>
      </c>
      <c r="D76" s="8"/>
      <c r="E76" s="8"/>
      <c r="F76" s="8"/>
    </row>
    <row r="78" spans="1:6" x14ac:dyDescent="0.25">
      <c r="A78" s="4" t="s">
        <v>201</v>
      </c>
      <c r="B78" s="5"/>
      <c r="C78" s="5"/>
      <c r="D78" s="5"/>
      <c r="E78" s="5"/>
      <c r="F78" s="5"/>
    </row>
    <row r="79" spans="1:5" x14ac:dyDescent="0.25">
      <c r="A79" s="25" t="s">
        <v>202</v>
      </c>
      <c r="B79" s="32">
        <v>0.07</v>
      </c>
      <c r="C79" s="32">
        <v>0.075</v>
      </c>
      <c r="D79" s="32">
        <v>0.08</v>
      </c>
      <c r="E79" s="32">
        <v>0.085</v>
      </c>
    </row>
    <row r="80" spans="1:5" x14ac:dyDescent="0.25">
      <c r="A80" s="21" t="s">
        <v>203</v>
      </c>
      <c r="B80" s="27">
        <v>0.2413590494653527</v>
      </c>
      <c r="C80" s="27">
        <v>0.1981010805160578</v>
      </c>
      <c r="D80" s="27">
        <v>0.15643182900562425</v>
      </c>
      <c r="E80" s="27">
        <v>0.11594756701498155</v>
      </c>
    </row>
    <row r="81" spans="1:5" x14ac:dyDescent="0.25">
      <c r="A81" s="21" t="s">
        <v>204</v>
      </c>
      <c r="B81" s="27">
        <v>0.3166711576166231</v>
      </c>
      <c r="C81" s="28">
        <v>0.27563551751308235</v>
      </c>
      <c r="D81" s="27">
        <v>0.2365089547947662</v>
      </c>
      <c r="E81" s="27">
        <v>0.1989302587607228</v>
      </c>
    </row>
    <row r="82" spans="1:5" x14ac:dyDescent="0.25">
      <c r="A82" s="21" t="s">
        <v>205</v>
      </c>
      <c r="B82" s="27">
        <v>0.3879656267349022</v>
      </c>
      <c r="C82" s="27">
        <v>0.3484741336946878</v>
      </c>
      <c r="D82" s="27">
        <v>0.31109801406577653</v>
      </c>
      <c r="E82" s="27">
        <v>0.2754915069098355</v>
      </c>
    </row>
    <row r="83" spans="1:6" x14ac:dyDescent="0.25">
      <c r="A83" s="8" t="s">
        <v>206</v>
      </c>
      <c r="B83" s="8"/>
      <c r="C83" s="8"/>
      <c r="D83" s="8"/>
      <c r="E83" s="8"/>
      <c r="F83" s="8"/>
    </row>
    <row r="85" ht="50" customHeight="1" spans="1:6" x14ac:dyDescent="0.25">
      <c r="A85" s="33" t="s">
        <v>207</v>
      </c>
      <c r="B85" s="33"/>
      <c r="C85" s="33"/>
      <c r="D85" s="33"/>
      <c r="E85" s="33"/>
      <c r="F85" s="33"/>
    </row>
  </sheetData>
  <mergeCells count="44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3:F23"/>
    <mergeCell ref="C24:F24"/>
    <mergeCell ref="C25:F25"/>
    <mergeCell ref="C26:F26"/>
    <mergeCell ref="C29:F29"/>
    <mergeCell ref="C30:F30"/>
    <mergeCell ref="C31:F31"/>
    <mergeCell ref="C34:F34"/>
    <mergeCell ref="C35:F35"/>
    <mergeCell ref="C36:F36"/>
    <mergeCell ref="C37:F37"/>
    <mergeCell ref="C38:F38"/>
    <mergeCell ref="C39:F39"/>
    <mergeCell ref="C42:F42"/>
    <mergeCell ref="C43:F43"/>
    <mergeCell ref="C44:F44"/>
    <mergeCell ref="C55:F55"/>
    <mergeCell ref="C56:F56"/>
    <mergeCell ref="C59:F59"/>
    <mergeCell ref="C60:F60"/>
    <mergeCell ref="C61:F61"/>
    <mergeCell ref="C62:F62"/>
    <mergeCell ref="C63:F63"/>
    <mergeCell ref="C64:F64"/>
    <mergeCell ref="C65:F65"/>
    <mergeCell ref="C66:F66"/>
    <mergeCell ref="C67:F67"/>
    <mergeCell ref="C75:F75"/>
    <mergeCell ref="C76:F76"/>
    <mergeCell ref="A83:F83"/>
    <mergeCell ref="A85:F8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2026-06-08T13:14:35Z</dcterms:created>
  <dcterms:modified xsi:type="dcterms:W3CDTF">2026-06-08T13:14:35Z</dcterms:modified>
</cp:coreProperties>
</file>