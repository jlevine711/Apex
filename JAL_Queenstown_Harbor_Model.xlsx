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led-Lot Model" state="visible" r:id="rId4"/>
    <sheet sheetId="2" name="Phase 2 — Hospitality" state="visible" r:id="rId5"/>
  </sheets>
  <calcPr calcId="171027" fullCalcOnLoad="1"/>
</workbook>
</file>

<file path=xl/sharedStrings.xml><?xml version="1.0" encoding="utf-8"?>
<sst xmlns="http://schemas.openxmlformats.org/spreadsheetml/2006/main" count="233" uniqueCount="219">
  <si>
    <t>Queenstown Harbor — Entitled-Lot (Capital-Light) Development Model</t>
  </si>
  <si>
    <t>Entitle the land and sell ENTITLED lots; the builder funds the horizontal. Costs repaid, then a simple 50/50.  ·  Dynamic — live formulas off INPUTS.  ·  ILLUSTRATIVE.</t>
  </si>
  <si>
    <t>INPUTS  (edit these — everything below recalculates)</t>
  </si>
  <si>
    <t>Gross Queenstown land (acres)</t>
  </si>
  <si>
    <t>owner's figure — to confirm by survey</t>
  </si>
  <si>
    <t>Less: permanent conservation (acres)</t>
  </si>
  <si>
    <t>recorded easement (qhgolf.com)</t>
  </si>
  <si>
    <t>Less: golf, range, water &amp; lodging (acres)</t>
  </si>
  <si>
    <t>two 18s + 9-ac range + clubhouse/cottages (est.)</t>
  </si>
  <si>
    <t>Less: Critical Area &amp; wetlands (acres)</t>
  </si>
  <si>
    <t>Chesapeake Bay 1,000-ft zone (est.)</t>
  </si>
  <si>
    <t>Lot density (lots / acre)</t>
  </si>
  <si>
    <t>blended; Queen Anne's Co. zoning to confirm</t>
  </si>
  <si>
    <t>Entitled lot price ($ / lot)</t>
  </si>
  <si>
    <t>to a builder — ~finished $150K less the builder's ~$80K to finish</t>
  </si>
  <si>
    <t>Entitlement / approvals ($)</t>
  </si>
  <si>
    <t>planning, zoning, PUD</t>
  </si>
  <si>
    <t>Civil engineering ($)</t>
  </si>
  <si>
    <t>construction plans</t>
  </si>
  <si>
    <t>Environmental studies ($)</t>
  </si>
  <si>
    <t>wetlands, Critical Area</t>
  </si>
  <si>
    <t>Legal / survey / title ($)</t>
  </si>
  <si>
    <t>Project management ($)</t>
  </si>
  <si>
    <t>consultants over the entitlement</t>
  </si>
  <si>
    <t>Marketing &amp; brokerage (% of revenue)</t>
  </si>
  <si>
    <t>lot sales</t>
  </si>
  <si>
    <t>Contingency (% of soft cost)</t>
  </si>
  <si>
    <t>on the soft costs</t>
  </si>
  <si>
    <t>Financing / carry ($)</t>
  </si>
  <si>
    <t>small bank line</t>
  </si>
  <si>
    <t>Profit split — each side</t>
  </si>
  <si>
    <t>50/50 after costs (no pref, no promote)</t>
  </si>
  <si>
    <t>Josh ownership of property entity</t>
  </si>
  <si>
    <t>→ Josh nets ~25% of profit</t>
  </si>
  <si>
    <t>JAL share of the dev co</t>
  </si>
  <si>
    <t>sweat equity — 30% of the dev-co 50% (~15% of profit)</t>
  </si>
  <si>
    <t>DEVELOPABLE LAND  →  ENTITLED LOTS</t>
  </si>
  <si>
    <t>Net developable land (acres)</t>
  </si>
  <si>
    <t>gross − conservation − golf − Critical Area</t>
  </si>
  <si>
    <t>Entitled lots</t>
  </si>
  <si>
    <t>net developable acres × density</t>
  </si>
  <si>
    <t>REVENUE</t>
  </si>
  <si>
    <t>Gross entitled-lot revenue</t>
  </si>
  <si>
    <t>entitled lots × entitled-lot price</t>
  </si>
  <si>
    <t>DEVELOPMENT COST  (SOFT ONLY — builder funds the horizontal)</t>
  </si>
  <si>
    <t>Marketing &amp; brokerage</t>
  </si>
  <si>
    <t>% of revenue</t>
  </si>
  <si>
    <t>Soft costs (entitle the land)</t>
  </si>
  <si>
    <t>entitlement + civil + env + legal + PM</t>
  </si>
  <si>
    <t>Contingency</t>
  </si>
  <si>
    <t>% of soft cost</t>
  </si>
  <si>
    <t>Financing / carry</t>
  </si>
  <si>
    <t>TOTAL DEVELOPMENT COST</t>
  </si>
  <si>
    <t>what we fund (land contributed at ~zero basis)</t>
  </si>
  <si>
    <t>PROFIT  &amp;  THE 50/50 SPLIT  (costs repaid first, then a straight deal)</t>
  </si>
  <si>
    <t>Net profit</t>
  </si>
  <si>
    <t>revenue − development cost</t>
  </si>
  <si>
    <t>Profit margin (on revenue)</t>
  </si>
  <si>
    <t>near-zero land basis</t>
  </si>
  <si>
    <t>Return on cost</t>
  </si>
  <si>
    <t>profit / development cost</t>
  </si>
  <si>
    <t>→ Property / H entities (50%)</t>
  </si>
  <si>
    <t>returns capital to Josh's investors</t>
  </si>
  <si>
    <t xml:space="preserve">    of which Josh (~25% of profit)</t>
  </si>
  <si>
    <t>Josh owns 50% of the property entity</t>
  </si>
  <si>
    <t>→ Development company (50%)</t>
  </si>
  <si>
    <t>Accountable Equity / Capital H6 · Bob · JAL · partners</t>
  </si>
  <si>
    <t xml:space="preserve">    of which JAL (30% of dev co)</t>
  </si>
  <si>
    <t>the carry — sweat equity; separate from any placement fee or co-invest</t>
  </si>
  <si>
    <t xml:space="preserve">    + JAL retainer ($15K/mo × ~36 mo)</t>
  </si>
  <si>
    <t>a floor during the engagement (a deal cost)</t>
  </si>
  <si>
    <t xml:space="preserve">    = JAL all-in (illustrative)</t>
  </si>
  <si>
    <t>carry + retainer on the Queenstown base case</t>
  </si>
  <si>
    <t>PROJECT CASH FLOW  (revenue × phasing − cost × phasing)</t>
  </si>
  <si>
    <t>$ by year</t>
  </si>
  <si>
    <t>Yr 0</t>
  </si>
  <si>
    <t>Yr 1</t>
  </si>
  <si>
    <t>Yr 2</t>
  </si>
  <si>
    <t>Yr 3</t>
  </si>
  <si>
    <t>Yr 4</t>
  </si>
  <si>
    <t>Revenue phasing (entitled-lot sales)</t>
  </si>
  <si>
    <t>Cost phasing (entitlement soft costs)</t>
  </si>
  <si>
    <t>Entitled-lot revenue</t>
  </si>
  <si>
    <t>Development cost</t>
  </si>
  <si>
    <t>Net project cash flow</t>
  </si>
  <si>
    <t>Project IRR (unlevered)</t>
  </si>
  <si>
    <t>high — minimal capital on a near-zero-basis land</t>
  </si>
  <si>
    <t>WHY CAPITAL-LIGHT  (entitled vs. finishing the lots ourselves)</t>
  </si>
  <si>
    <t/>
  </si>
  <si>
    <t>Finished lots</t>
  </si>
  <si>
    <t>Revenue</t>
  </si>
  <si>
    <t>Development cost (capital deployed)</t>
  </si>
  <si>
    <t>Finishing the lots adds ~$3.1M of profit but needs ~4.7× the capital and all the horizontal execution + absorption risk. Capital-light wins on return-on-cost and risk — and it's what the sponsor wants.</t>
  </si>
  <si>
    <t>PROFIT SENSITIVITY  ($M — entitled lot price  ×  lot yield)</t>
  </si>
  <si>
    <t>Entitled $/lot  /  lots</t>
  </si>
  <si>
    <t>240 lots</t>
  </si>
  <si>
    <t>280 lots</t>
  </si>
  <si>
    <t>320 lots</t>
  </si>
  <si>
    <t>$55K / lot</t>
  </si>
  <si>
    <t>$70K / lot</t>
  </si>
  <si>
    <t>$85K / lot</t>
  </si>
  <si>
    <t>Net project profit ($M) across entitled-lot price × lot yield. Base = $70K × 280 lots (highlighted). 50% flows to the property (Josh's investor liquidity), 50% to the development company.</t>
  </si>
  <si>
    <t>Illustrative and for discussion only. Capital-light entitled-lot basis: we fund only the soft costs to entitle the land and sell entitled lots; the builder funds the horizontal. Costs repaid first, then a straight 50/50 (no pref, no promote). The entitled-lot price is the key assumption — confirm against builder bids in diligence.</t>
  </si>
  <si>
    <t>Queenstown Harbor — Phase 2: Hospitality (Hotel + Restaurants)</t>
  </si>
  <si>
    <t>Hotel is a REQUIRED component (per Bob). VIVÂMEE-led resort; JAL leads capital formation.  ·  Dynamic.  ·  ILLUSTRATIVE.</t>
  </si>
  <si>
    <t>Hotel — keys</t>
  </si>
  <si>
    <t>boutique resort lodge</t>
  </si>
  <si>
    <t>Hotel — cost / key ($)</t>
  </si>
  <si>
    <t>HVS 2025: select ~$223K, full-service ~$409K</t>
  </si>
  <si>
    <t>Hotel — ADR ($)</t>
  </si>
  <si>
    <t>upscale Eastern Shore resort (weddings / golf)</t>
  </si>
  <si>
    <t>Hotel — stabilized occupancy</t>
  </si>
  <si>
    <t>leisure / resort</t>
  </si>
  <si>
    <t>Hotel — total-revenue multiple (x rooms)</t>
  </si>
  <si>
    <t>+ F&amp;B, banquets, spa</t>
  </si>
  <si>
    <t>Hotel — NOI margin</t>
  </si>
  <si>
    <t>stabilized</t>
  </si>
  <si>
    <t>Restaurants — GLA (SF)</t>
  </si>
  <si>
    <t>a suite of destination restaurants</t>
  </si>
  <si>
    <t>Restaurants — build cost / SF ($)</t>
  </si>
  <si>
    <t>full-service ~$555/SF</t>
  </si>
  <si>
    <t>Restaurants — sales / SF ($)</t>
  </si>
  <si>
    <t>upscale destination dining</t>
  </si>
  <si>
    <t>Restaurants — NOI (% of sales)</t>
  </si>
  <si>
    <t>rent / operating contribution</t>
  </si>
  <si>
    <t>Land — hospitality parcel ($)</t>
  </si>
  <si>
    <t>contributed by Capital H6</t>
  </si>
  <si>
    <t>Soft / FF&amp;E / pre-opening ($)</t>
  </si>
  <si>
    <t>Exit cap rate (hold case)</t>
  </si>
  <si>
    <t>hotel cap ~8% (2025)</t>
  </si>
  <si>
    <t>Construction loan (% of cost)</t>
  </si>
  <si>
    <t>Loan interest rate</t>
  </si>
  <si>
    <t>NOI growth / yr</t>
  </si>
  <si>
    <t>Equity drawn — Year 0 (balance Yr 1)</t>
  </si>
  <si>
    <t>construction equity timing</t>
  </si>
  <si>
    <t>First operating year ramp (hold)</t>
  </si>
  <si>
    <t>Yr 2 opens partway through</t>
  </si>
  <si>
    <t>HOTEL  (required component)</t>
  </si>
  <si>
    <t>Hotel development cost</t>
  </si>
  <si>
    <t>keys × cost/key</t>
  </si>
  <si>
    <t>Room revenue</t>
  </si>
  <si>
    <t>keys × 365 × ADR × occ</t>
  </si>
  <si>
    <t>Total hotel revenue</t>
  </si>
  <si>
    <t>× revenue multiple</t>
  </si>
  <si>
    <t>Hotel NOI (stabilized)</t>
  </si>
  <si>
    <t>× NOI margin</t>
  </si>
  <si>
    <t>RESTAURANTS  (a suite of nice restaurants)</t>
  </si>
  <si>
    <t>Restaurant development cost</t>
  </si>
  <si>
    <t>SF × cost/SF</t>
  </si>
  <si>
    <t>Restaurant sales</t>
  </si>
  <si>
    <t>SF × sales/SF</t>
  </si>
  <si>
    <t>Restaurant NOI (to owner)</t>
  </si>
  <si>
    <t>TOTAL PROJECT  -&gt;  STABILIZED</t>
  </si>
  <si>
    <t>Total project cost</t>
  </si>
  <si>
    <t>hotel + restaurants + land + soft</t>
  </si>
  <si>
    <t>Stabilized NOI</t>
  </si>
  <si>
    <t>hotel + restaurant NOI</t>
  </si>
  <si>
    <t>Yield on cost</t>
  </si>
  <si>
    <t>NOI / cost</t>
  </si>
  <si>
    <t>Construction loan</t>
  </si>
  <si>
    <t>% LTC</t>
  </si>
  <si>
    <t>Equity (land + cash)</t>
  </si>
  <si>
    <t>cost − loan</t>
  </si>
  <si>
    <t>Stabilized levered cash flow</t>
  </si>
  <si>
    <t>NOI − loan interest</t>
  </si>
  <si>
    <t>Cash-on-cash (stabilized, levered)</t>
  </si>
  <si>
    <t>stabilized levered CF / equity</t>
  </si>
  <si>
    <t>EXIT  (hold case — sell at exit cap)</t>
  </si>
  <si>
    <t>Exit-year NOI (+3%/yr × 4)</t>
  </si>
  <si>
    <t>stabilized × growth</t>
  </si>
  <si>
    <t>Exit value (@ exit cap)</t>
  </si>
  <si>
    <t>exit-year NOI / cap</t>
  </si>
  <si>
    <t>Exit equity (value − loan)</t>
  </si>
  <si>
    <t>net of loan</t>
  </si>
  <si>
    <t>HOLD-CASE EQUITY CASH FLOW  (Yr 0–7, levered $) &amp; RETURNS</t>
  </si>
  <si>
    <t>Equity CF — Year 0</t>
  </si>
  <si>
    <t>Equity CF — Year 1</t>
  </si>
  <si>
    <t>Equity CF — Year 2</t>
  </si>
  <si>
    <t>Equity CF — Year 3</t>
  </si>
  <si>
    <t>Equity CF — Year 4</t>
  </si>
  <si>
    <t>Equity CF — Year 5</t>
  </si>
  <si>
    <t>Equity CF — Year 6</t>
  </si>
  <si>
    <t>Equity CF — Year 7</t>
  </si>
  <si>
    <t>Equity multiple (7-yr hold)</t>
  </si>
  <si>
    <t>distributions / equity</t>
  </si>
  <si>
    <t>Project IRR (levered, 7-yr hold)</t>
  </si>
  <si>
    <t>income / hold — develops to ~cost</t>
  </si>
  <si>
    <t>BUILD-TO-CORE CASE  (recap / sell at stabilization — path to mid–high 20s IRR)</t>
  </si>
  <si>
    <t>NOI uplift — premium execution</t>
  </si>
  <si>
    <t>VIVÂMEE experiential: ADR ~$275, occ ~63%, strong F&amp;B / events</t>
  </si>
  <si>
    <t>Premium stabilized NOI</t>
  </si>
  <si>
    <t>base NOI × (1 + uplift)</t>
  </si>
  <si>
    <t>Exit cap (build-to-core)</t>
  </si>
  <si>
    <t>trophy / experiential resort</t>
  </si>
  <si>
    <t>Leverage (% of cost)</t>
  </si>
  <si>
    <t>construction loan</t>
  </si>
  <si>
    <t>First operating year ramp (b-t-c)</t>
  </si>
  <si>
    <t>Yield on cost (premium)</t>
  </si>
  <si>
    <t>premium NOI / cost — vs 7.5% exit = the spread</t>
  </si>
  <si>
    <t>Recap / sale value (~Yr 4)</t>
  </si>
  <si>
    <t>premium NOI / exit cap</t>
  </si>
  <si>
    <t>Loan</t>
  </si>
  <si>
    <t>% of cost</t>
  </si>
  <si>
    <t>Equity</t>
  </si>
  <si>
    <t>Premium stabilized levered cash flow</t>
  </si>
  <si>
    <t>premium NOI − loan interest</t>
  </si>
  <si>
    <t>at recap / sale</t>
  </si>
  <si>
    <t>BUILD-TO-CORE EQUITY CASH FLOW  (Yr 0–4, levered $) &amp; RETURNS</t>
  </si>
  <si>
    <t>Equity multiple (build-to-core)</t>
  </si>
  <si>
    <t>distributions / equity, ~4-yr</t>
  </si>
  <si>
    <t>Project IRR (build-to-core, ~4-yr)</t>
  </si>
  <si>
    <t>recap / sell at stabilization</t>
  </si>
  <si>
    <t>BUILD-TO-CORE IRR SENSITIVITY  (stabilized NOI  ×  exit cap)</t>
  </si>
  <si>
    <t>Stabilized NOI  /  exit cap</t>
  </si>
  <si>
    <t>$4.2M NOI</t>
  </si>
  <si>
    <t>$4.65M NOI (base)</t>
  </si>
  <si>
    <t>$5.15M NOI</t>
  </si>
  <si>
    <t>Build-to-core project IRR at 65% LTC, recap at stabilization (~Yr 4). Base = $4.65M NOI / 7.5% cap (highlighted). Each cell re-runs the engine.</t>
  </si>
  <si>
    <t>Illustrative. The hotel is a required component (per Bob); at Renault the plan is +100–200 rooms. Hospitality develops to ~cost (income/hold ~12% IRR) unless you build to core and recap at stabilization (~28%). VIVÂMEE operates; JAL leads capital formation. The resort also lifts the lot values. Subject to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</si>
</sst>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$#,##0"/>
    <numFmt numFmtId="166" formatCode="0.0%"/>
    <numFmt numFmtId="167" formatCode="0.00&quot;x&quot;"/>
    <numFmt numFmtId="168" formatCode="#,##0.0"/>
  </numFmts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A243A"/>
      <sz val="9"/>
      <name val="Calibri"/>
    </font>
    <font>
      <b/>
      <color rgb="FFFFFFFF"/>
      <sz val="10"/>
      <name val="Calibri"/>
    </font>
    <font>
      <color rgb="FF333333"/>
      <sz val="10"/>
      <name val="Calibri"/>
    </font>
    <font>
      <b/>
      <color rgb="FF0B163C"/>
      <sz val="10"/>
      <name val="Calibri"/>
    </font>
    <font>
      <i/>
      <color rgb="FF6B5A6B"/>
      <sz val="9"/>
      <name val="Calibri"/>
    </font>
    <font>
      <b/>
      <color rgb="FF3A243A"/>
      <sz val="10"/>
      <name val="Calibri"/>
    </font>
    <font>
      <b/>
      <color rgb="FF6B5A6B"/>
      <sz val="9"/>
      <name val="Calibri"/>
    </font>
    <font>
      <color rgb="FF0B163C"/>
      <sz val="10"/>
      <name val="Calibri"/>
    </font>
    <font>
      <b/>
      <color rgb="FF0B163C"/>
      <sz val="9"/>
      <name val="Calibri"/>
    </font>
    <font>
      <b/>
      <color rgb="FFFFFFFF"/>
      <sz val="9"/>
    </font>
    <font>
      <b/>
      <color rgb="FFFFFFFF"/>
      <sz val="10"/>
    </font>
    <font>
      <b/>
      <color rgb="FF0B163C"/>
      <sz val="10"/>
    </font>
    <font>
      <color rgb="FF0B163C"/>
      <sz val="10"/>
    </font>
    <font>
      <b/>
      <color rgb="FF3A243A"/>
      <sz val="10"/>
    </font>
    <font>
      <i/>
      <color rgb="FF6B5A6B"/>
      <sz val="8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163C"/>
      </patternFill>
    </fill>
    <fill>
      <patternFill patternType="solid">
        <fgColor rgb="FF3A243A"/>
      </patternFill>
    </fill>
    <fill>
      <patternFill patternType="solid">
        <fgColor rgb="FFF4F2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3" borderId="0" xfId="0" applyFont="1" applyFill="1" applyAlignment="1">
      <alignment indent="1"/>
    </xf>
    <xf numFmtId="0" fontId="3" fillId="3" borderId="0" xfId="0" applyFont="1" applyFill="1"/>
    <xf numFmtId="0" fontId="4" fillId="0" borderId="0" xfId="0" applyFont="1" applyAlignment="1">
      <alignment indent="1"/>
    </xf>
    <xf numFmtId="3" fontId="5" fillId="0" borderId="0" xfId="0" applyNumberFormat="1" applyFont="1" applyAlignment="1">
      <alignment horizontal="right"/>
    </xf>
    <xf numFmtId="0" fontId="6" fillId="0" borderId="0" xfId="0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indent="1"/>
    </xf>
    <xf numFmtId="3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4" borderId="0" xfId="0" applyFont="1" applyFill="1" applyAlignment="1">
      <alignment indent="1"/>
    </xf>
    <xf numFmtId="165" fontId="7" fillId="4" borderId="0" xfId="0" applyNumberFormat="1" applyFont="1" applyFill="1" applyAlignment="1">
      <alignment horizontal="right"/>
    </xf>
    <xf numFmtId="167" fontId="7" fillId="0" borderId="0" xfId="0" applyNumberFormat="1" applyFont="1" applyAlignment="1">
      <alignment horizontal="right"/>
    </xf>
    <xf numFmtId="0" fontId="8" fillId="0" borderId="0" xfId="0" applyFont="1" applyAlignment="1">
      <alignment indent="1"/>
    </xf>
    <xf numFmtId="0" fontId="8" fillId="0" borderId="0" xfId="0" applyFont="1" applyAlignment="1">
      <alignment horizontal="right"/>
    </xf>
    <xf numFmtId="166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right"/>
    </xf>
    <xf numFmtId="167" fontId="9" fillId="0" borderId="0" xfId="0" applyNumberFormat="1" applyFont="1" applyAlignment="1">
      <alignment horizontal="right"/>
    </xf>
    <xf numFmtId="0" fontId="11" fillId="2" borderId="0" xfId="0" applyFont="1" applyFill="1"/>
    <xf numFmtId="0" fontId="12" fillId="2" borderId="0" xfId="0" applyFont="1" applyFill="1" applyAlignment="1">
      <alignment horizontal="center"/>
    </xf>
    <xf numFmtId="0" fontId="13" fillId="0" borderId="0" xfId="0" applyFont="1" applyAlignment="1">
      <alignment indent="1"/>
    </xf>
    <xf numFmtId="168" fontId="14" fillId="0" borderId="0" xfId="0" applyNumberFormat="1" applyFont="1" applyAlignment="1">
      <alignment horizontal="center"/>
    </xf>
    <xf numFmtId="168" fontId="15" fillId="4" borderId="0" xfId="0" applyNumberFormat="1" applyFont="1" applyFill="1" applyAlignment="1">
      <alignment horizontal="center"/>
    </xf>
    <xf numFmtId="0" fontId="16" fillId="0" borderId="0" xfId="0" applyFont="1" applyAlignment="1">
      <alignment vertical="top" wrapText="1"/>
    </xf>
    <xf numFmtId="2" fontId="5" fillId="0" borderId="0" xfId="0" applyNumberFormat="1" applyFont="1" applyAlignment="1">
      <alignment horizontal="right"/>
    </xf>
    <xf numFmtId="166" fontId="12" fillId="2" borderId="0" xfId="0" applyNumberFormat="1" applyFont="1" applyFill="1" applyAlignment="1">
      <alignment horizontal="center"/>
    </xf>
    <xf numFmtId="166" fontId="14" fillId="0" borderId="0" xfId="0" applyNumberFormat="1" applyFont="1" applyAlignment="1">
      <alignment horizontal="center"/>
    </xf>
    <xf numFmtId="166" fontId="15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 showGridLines="0"/>
  </sheetViews>
  <sheetFormatPr defaultRowHeight="16" outlineLevelRow="0" outlineLevelCol="0" x14ac:dyDescent="55" customHeight="1"/>
  <cols>
    <col min="1" max="1" width="42" customWidth="1"/>
    <col min="2" max="2" width="16" customWidth="1"/>
    <col min="3" max="3" width="14" customWidth="1"/>
    <col min="4" max="6" width="12" customWidth="1"/>
  </cols>
  <sheetData>
    <row r="1" ht="24" customHeight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4" t="s">
        <v>2</v>
      </c>
      <c r="B4" s="5"/>
      <c r="C4" s="5"/>
      <c r="D4" s="5"/>
      <c r="E4" s="5"/>
      <c r="F4" s="5"/>
    </row>
    <row r="5" spans="1:6" x14ac:dyDescent="0.25">
      <c r="A5" s="6" t="s">
        <v>3</v>
      </c>
      <c r="B5" s="7">
        <v>700</v>
      </c>
      <c r="C5" s="8" t="s">
        <v>4</v>
      </c>
      <c r="D5" s="8"/>
      <c r="E5" s="8"/>
      <c r="F5" s="8"/>
    </row>
    <row r="6" spans="1:6" x14ac:dyDescent="0.25">
      <c r="A6" s="6" t="s">
        <v>5</v>
      </c>
      <c r="B6" s="7">
        <v>198</v>
      </c>
      <c r="C6" s="8" t="s">
        <v>6</v>
      </c>
      <c r="D6" s="8"/>
      <c r="E6" s="8"/>
      <c r="F6" s="8"/>
    </row>
    <row r="7" spans="1:6" x14ac:dyDescent="0.25">
      <c r="A7" s="6" t="s">
        <v>7</v>
      </c>
      <c r="B7" s="7">
        <v>302</v>
      </c>
      <c r="C7" s="8" t="s">
        <v>8</v>
      </c>
      <c r="D7" s="8"/>
      <c r="E7" s="8"/>
      <c r="F7" s="8"/>
    </row>
    <row r="8" spans="1:6" x14ac:dyDescent="0.25">
      <c r="A8" s="6" t="s">
        <v>9</v>
      </c>
      <c r="B8" s="7">
        <v>60</v>
      </c>
      <c r="C8" s="8" t="s">
        <v>10</v>
      </c>
      <c r="D8" s="8"/>
      <c r="E8" s="8"/>
      <c r="F8" s="8"/>
    </row>
    <row r="9" spans="1:6" x14ac:dyDescent="0.25">
      <c r="A9" s="6" t="s">
        <v>11</v>
      </c>
      <c r="B9" s="9">
        <v>2</v>
      </c>
      <c r="C9" s="8" t="s">
        <v>12</v>
      </c>
      <c r="D9" s="8"/>
      <c r="E9" s="8"/>
      <c r="F9" s="8"/>
    </row>
    <row r="10" spans="1:6" x14ac:dyDescent="0.25">
      <c r="A10" s="6" t="s">
        <v>13</v>
      </c>
      <c r="B10" s="10">
        <v>70000</v>
      </c>
      <c r="C10" s="8" t="s">
        <v>14</v>
      </c>
      <c r="D10" s="8"/>
      <c r="E10" s="8"/>
      <c r="F10" s="8"/>
    </row>
    <row r="11" spans="1:6" x14ac:dyDescent="0.25">
      <c r="A11" s="6" t="s">
        <v>15</v>
      </c>
      <c r="B11" s="10">
        <v>1200000</v>
      </c>
      <c r="C11" s="8" t="s">
        <v>16</v>
      </c>
      <c r="D11" s="8"/>
      <c r="E11" s="8"/>
      <c r="F11" s="8"/>
    </row>
    <row r="12" spans="1:6" x14ac:dyDescent="0.25">
      <c r="A12" s="6" t="s">
        <v>17</v>
      </c>
      <c r="B12" s="10">
        <v>1000000</v>
      </c>
      <c r="C12" s="8" t="s">
        <v>18</v>
      </c>
      <c r="D12" s="8"/>
      <c r="E12" s="8"/>
      <c r="F12" s="8"/>
    </row>
    <row r="13" spans="1:6" x14ac:dyDescent="0.25">
      <c r="A13" s="6" t="s">
        <v>19</v>
      </c>
      <c r="B13" s="10">
        <v>600000</v>
      </c>
      <c r="C13" s="8" t="s">
        <v>20</v>
      </c>
      <c r="D13" s="8"/>
      <c r="E13" s="8"/>
      <c r="F13" s="8"/>
    </row>
    <row r="14" spans="1:2" x14ac:dyDescent="0.25">
      <c r="A14" s="6" t="s">
        <v>21</v>
      </c>
      <c r="B14" s="10">
        <v>500000</v>
      </c>
    </row>
    <row r="15" spans="1:6" x14ac:dyDescent="0.25">
      <c r="A15" s="6" t="s">
        <v>22</v>
      </c>
      <c r="B15" s="10">
        <v>700000</v>
      </c>
      <c r="C15" s="8" t="s">
        <v>23</v>
      </c>
      <c r="D15" s="8"/>
      <c r="E15" s="8"/>
      <c r="F15" s="8"/>
    </row>
    <row r="16" spans="1:6" x14ac:dyDescent="0.25">
      <c r="A16" s="6" t="s">
        <v>24</v>
      </c>
      <c r="B16" s="11">
        <v>0.03</v>
      </c>
      <c r="C16" s="8" t="s">
        <v>25</v>
      </c>
      <c r="D16" s="8"/>
      <c r="E16" s="8"/>
      <c r="F16" s="8"/>
    </row>
    <row r="17" spans="1:6" x14ac:dyDescent="0.25">
      <c r="A17" s="6" t="s">
        <v>26</v>
      </c>
      <c r="B17" s="11">
        <v>0.1</v>
      </c>
      <c r="C17" s="8" t="s">
        <v>27</v>
      </c>
      <c r="D17" s="8"/>
      <c r="E17" s="8"/>
      <c r="F17" s="8"/>
    </row>
    <row r="18" spans="1:6" x14ac:dyDescent="0.25">
      <c r="A18" s="6" t="s">
        <v>28</v>
      </c>
      <c r="B18" s="10">
        <v>300000</v>
      </c>
      <c r="C18" s="8" t="s">
        <v>29</v>
      </c>
      <c r="D18" s="8"/>
      <c r="E18" s="8"/>
      <c r="F18" s="8"/>
    </row>
    <row r="19" spans="1:6" x14ac:dyDescent="0.25">
      <c r="A19" s="6" t="s">
        <v>30</v>
      </c>
      <c r="B19" s="11">
        <v>0.5</v>
      </c>
      <c r="C19" s="8" t="s">
        <v>31</v>
      </c>
      <c r="D19" s="8"/>
      <c r="E19" s="8"/>
      <c r="F19" s="8"/>
    </row>
    <row r="20" spans="1:6" x14ac:dyDescent="0.25">
      <c r="A20" s="6" t="s">
        <v>32</v>
      </c>
      <c r="B20" s="11">
        <v>0.5</v>
      </c>
      <c r="C20" s="8" t="s">
        <v>33</v>
      </c>
      <c r="D20" s="8"/>
      <c r="E20" s="8"/>
      <c r="F20" s="8"/>
    </row>
    <row r="21" spans="1:6" x14ac:dyDescent="0.25">
      <c r="A21" s="6" t="s">
        <v>34</v>
      </c>
      <c r="B21" s="11">
        <v>0.3</v>
      </c>
      <c r="C21" s="8" t="s">
        <v>35</v>
      </c>
      <c r="D21" s="8"/>
      <c r="E21" s="8"/>
      <c r="F21" s="8"/>
    </row>
    <row r="23" spans="1:6" x14ac:dyDescent="0.25">
      <c r="A23" s="4" t="s">
        <v>36</v>
      </c>
      <c r="B23" s="5"/>
      <c r="C23" s="5"/>
      <c r="D23" s="5"/>
      <c r="E23" s="5"/>
      <c r="F23" s="5"/>
    </row>
    <row r="24" spans="1:6" x14ac:dyDescent="0.25">
      <c r="A24" s="12" t="s">
        <v>37</v>
      </c>
      <c r="B24" s="7">
        <f>B5-B6-B7-B8</f>
        <v>140</v>
      </c>
      <c r="C24" s="8" t="s">
        <v>38</v>
      </c>
      <c r="D24" s="8"/>
      <c r="E24" s="8"/>
      <c r="F24" s="8"/>
    </row>
    <row r="25" spans="1:6" x14ac:dyDescent="0.25">
      <c r="A25" s="12" t="s">
        <v>39</v>
      </c>
      <c r="B25" s="13">
        <f>B24*B9</f>
        <v>280</v>
      </c>
      <c r="C25" s="8" t="s">
        <v>40</v>
      </c>
      <c r="D25" s="8"/>
      <c r="E25" s="8"/>
      <c r="F25" s="8"/>
    </row>
    <row r="27" spans="1:6" x14ac:dyDescent="0.25">
      <c r="A27" s="4" t="s">
        <v>41</v>
      </c>
      <c r="B27" s="5"/>
      <c r="C27" s="5"/>
      <c r="D27" s="5"/>
      <c r="E27" s="5"/>
      <c r="F27" s="5"/>
    </row>
    <row r="28" spans="1:6" x14ac:dyDescent="0.25">
      <c r="A28" s="12" t="s">
        <v>42</v>
      </c>
      <c r="B28" s="14">
        <f>B25*B10</f>
        <v>19600000</v>
      </c>
      <c r="C28" s="8" t="s">
        <v>43</v>
      </c>
      <c r="D28" s="8"/>
      <c r="E28" s="8"/>
      <c r="F28" s="8"/>
    </row>
    <row r="30" spans="1:6" x14ac:dyDescent="0.25">
      <c r="A30" s="4" t="s">
        <v>44</v>
      </c>
      <c r="B30" s="5"/>
      <c r="C30" s="5"/>
      <c r="D30" s="5"/>
      <c r="E30" s="5"/>
      <c r="F30" s="5"/>
    </row>
    <row r="31" spans="1:6" x14ac:dyDescent="0.25">
      <c r="A31" s="6" t="s">
        <v>45</v>
      </c>
      <c r="B31" s="10">
        <f>B28*B16</f>
        <v>588000</v>
      </c>
      <c r="C31" s="8" t="s">
        <v>46</v>
      </c>
      <c r="D31" s="8"/>
      <c r="E31" s="8"/>
      <c r="F31" s="8"/>
    </row>
    <row r="32" spans="1:6" x14ac:dyDescent="0.25">
      <c r="A32" s="6" t="s">
        <v>47</v>
      </c>
      <c r="B32" s="10">
        <f>B11+B12+B13+B14+B15</f>
        <v>4000000</v>
      </c>
      <c r="C32" s="8" t="s">
        <v>48</v>
      </c>
      <c r="D32" s="8"/>
      <c r="E32" s="8"/>
      <c r="F32" s="8"/>
    </row>
    <row r="33" spans="1:6" x14ac:dyDescent="0.25">
      <c r="A33" s="6" t="s">
        <v>49</v>
      </c>
      <c r="B33" s="10">
        <f>B32*B17</f>
        <v>400000</v>
      </c>
      <c r="C33" s="8" t="s">
        <v>50</v>
      </c>
      <c r="D33" s="8"/>
      <c r="E33" s="8"/>
      <c r="F33" s="8"/>
    </row>
    <row r="34" spans="1:6" x14ac:dyDescent="0.25">
      <c r="A34" s="6" t="s">
        <v>51</v>
      </c>
      <c r="B34" s="10">
        <f>B18</f>
        <v>300000</v>
      </c>
      <c r="C34" s="8" t="s">
        <v>29</v>
      </c>
      <c r="D34" s="8"/>
      <c r="E34" s="8"/>
      <c r="F34" s="8"/>
    </row>
    <row r="35" spans="1:6" x14ac:dyDescent="0.25">
      <c r="A35" s="15" t="s">
        <v>52</v>
      </c>
      <c r="B35" s="16">
        <f>B32+B31+B33+B34</f>
        <v>5288000</v>
      </c>
      <c r="C35" s="8" t="s">
        <v>53</v>
      </c>
      <c r="D35" s="8"/>
      <c r="E35" s="8"/>
      <c r="F35" s="8"/>
    </row>
    <row r="37" spans="1:6" x14ac:dyDescent="0.25">
      <c r="A37" s="4" t="s">
        <v>54</v>
      </c>
      <c r="B37" s="5"/>
      <c r="C37" s="5"/>
      <c r="D37" s="5"/>
      <c r="E37" s="5"/>
      <c r="F37" s="5"/>
    </row>
    <row r="38" spans="1:6" x14ac:dyDescent="0.25">
      <c r="A38" s="12" t="s">
        <v>55</v>
      </c>
      <c r="B38" s="14">
        <f>B28-B35</f>
        <v>14312000</v>
      </c>
      <c r="C38" s="8" t="s">
        <v>56</v>
      </c>
      <c r="D38" s="8"/>
      <c r="E38" s="8"/>
      <c r="F38" s="8"/>
    </row>
    <row r="39" spans="1:6" x14ac:dyDescent="0.25">
      <c r="A39" s="6" t="s">
        <v>57</v>
      </c>
      <c r="B39" s="11">
        <f>B38/B28</f>
        <v>0.730204081632653</v>
      </c>
      <c r="C39" s="8" t="s">
        <v>58</v>
      </c>
      <c r="D39" s="8"/>
      <c r="E39" s="8"/>
      <c r="F39" s="8"/>
    </row>
    <row r="40" spans="1:6" x14ac:dyDescent="0.25">
      <c r="A40" s="12" t="s">
        <v>59</v>
      </c>
      <c r="B40" s="17">
        <f>B38/B35</f>
        <v>2.706505295007564</v>
      </c>
      <c r="C40" s="8" t="s">
        <v>60</v>
      </c>
      <c r="D40" s="8"/>
      <c r="E40" s="8"/>
      <c r="F40" s="8"/>
    </row>
    <row r="41" spans="1:6" x14ac:dyDescent="0.25">
      <c r="A41" s="12" t="s">
        <v>61</v>
      </c>
      <c r="B41" s="10">
        <f>B38*B19</f>
        <v>7156000</v>
      </c>
      <c r="C41" s="8" t="s">
        <v>62</v>
      </c>
      <c r="D41" s="8"/>
      <c r="E41" s="8"/>
      <c r="F41" s="8"/>
    </row>
    <row r="42" spans="1:6" x14ac:dyDescent="0.25">
      <c r="A42" s="6" t="s">
        <v>63</v>
      </c>
      <c r="B42" s="10">
        <f>B41*B20</f>
        <v>3578000</v>
      </c>
      <c r="C42" s="8" t="s">
        <v>64</v>
      </c>
      <c r="D42" s="8"/>
      <c r="E42" s="8"/>
      <c r="F42" s="8"/>
    </row>
    <row r="43" spans="1:6" x14ac:dyDescent="0.25">
      <c r="A43" s="12" t="s">
        <v>65</v>
      </c>
      <c r="B43" s="14">
        <f>B38*(1-B19)</f>
        <v>7156000</v>
      </c>
      <c r="C43" s="8" t="s">
        <v>66</v>
      </c>
      <c r="D43" s="8"/>
      <c r="E43" s="8"/>
      <c r="F43" s="8"/>
    </row>
    <row r="44" spans="1:6" x14ac:dyDescent="0.25">
      <c r="A44" s="12" t="s">
        <v>67</v>
      </c>
      <c r="B44" s="10">
        <f>B43*B21</f>
        <v>2146800</v>
      </c>
      <c r="C44" s="8" t="s">
        <v>68</v>
      </c>
      <c r="D44" s="8"/>
      <c r="E44" s="8"/>
      <c r="F44" s="8"/>
    </row>
    <row r="45" spans="1:6" x14ac:dyDescent="0.25">
      <c r="A45" s="6" t="s">
        <v>69</v>
      </c>
      <c r="B45" s="10">
        <f>540000</f>
        <v>540000</v>
      </c>
      <c r="C45" s="8" t="s">
        <v>70</v>
      </c>
      <c r="D45" s="8"/>
      <c r="E45" s="8"/>
      <c r="F45" s="8"/>
    </row>
    <row r="46" spans="1:6" x14ac:dyDescent="0.25">
      <c r="A46" s="12" t="s">
        <v>71</v>
      </c>
      <c r="B46" s="14">
        <f>B44+B45</f>
        <v>2686800</v>
      </c>
      <c r="C46" s="8" t="s">
        <v>72</v>
      </c>
      <c r="D46" s="8"/>
      <c r="E46" s="8"/>
      <c r="F46" s="8"/>
    </row>
    <row r="48" spans="1:6" x14ac:dyDescent="0.25">
      <c r="A48" s="4" t="s">
        <v>73</v>
      </c>
      <c r="B48" s="5"/>
      <c r="C48" s="5"/>
      <c r="D48" s="5"/>
      <c r="E48" s="5"/>
      <c r="F48" s="5"/>
    </row>
    <row r="49" spans="1:6" x14ac:dyDescent="0.25">
      <c r="A49" s="18" t="s">
        <v>74</v>
      </c>
      <c r="B49" s="19" t="s">
        <v>75</v>
      </c>
      <c r="C49" s="19" t="s">
        <v>76</v>
      </c>
      <c r="D49" s="19" t="s">
        <v>77</v>
      </c>
      <c r="E49" s="19" t="s">
        <v>78</v>
      </c>
      <c r="F49" s="19" t="s">
        <v>79</v>
      </c>
    </row>
    <row r="50" spans="1:6" x14ac:dyDescent="0.25">
      <c r="A50" s="6" t="s">
        <v>80</v>
      </c>
      <c r="B50" s="20">
        <v>0</v>
      </c>
      <c r="C50" s="20">
        <v>0</v>
      </c>
      <c r="D50" s="20">
        <v>0.25</v>
      </c>
      <c r="E50" s="20">
        <v>0.4</v>
      </c>
      <c r="F50" s="20">
        <v>0.35</v>
      </c>
    </row>
    <row r="51" spans="1:6" x14ac:dyDescent="0.25">
      <c r="A51" s="6" t="s">
        <v>81</v>
      </c>
      <c r="B51" s="20">
        <v>0.3</v>
      </c>
      <c r="C51" s="20">
        <v>0.45</v>
      </c>
      <c r="D51" s="20">
        <v>0.18</v>
      </c>
      <c r="E51" s="20">
        <v>0.07</v>
      </c>
      <c r="F51" s="20">
        <v>0</v>
      </c>
    </row>
    <row r="52" spans="1:6" x14ac:dyDescent="0.25">
      <c r="A52" s="6" t="s">
        <v>82</v>
      </c>
      <c r="B52" s="21">
        <f>$B$28*B50</f>
        <v>0</v>
      </c>
      <c r="C52" s="21">
        <f>$B$28*C50</f>
        <v>0</v>
      </c>
      <c r="D52" s="21">
        <f>$B$28*D50</f>
        <v>4900000</v>
      </c>
      <c r="E52" s="21">
        <f>$B$28*E50</f>
        <v>7840000</v>
      </c>
      <c r="F52" s="21">
        <f>$B$28*F50</f>
        <v>6860000</v>
      </c>
    </row>
    <row r="53" spans="1:6" x14ac:dyDescent="0.25">
      <c r="A53" s="6" t="s">
        <v>83</v>
      </c>
      <c r="B53" s="21">
        <f>-$B$35*B51</f>
        <v>-1586400</v>
      </c>
      <c r="C53" s="21">
        <f>-$B$35*C51</f>
        <v>-2379600</v>
      </c>
      <c r="D53" s="21">
        <f>-$B$35*D51</f>
        <v>-951840</v>
      </c>
      <c r="E53" s="21">
        <f>-$B$35*E51</f>
        <v>-370160.00000000006</v>
      </c>
      <c r="F53" s="21">
        <f>-$B$35*F51</f>
        <v>0</v>
      </c>
    </row>
    <row r="54" spans="1:6" x14ac:dyDescent="0.25">
      <c r="A54" s="12" t="s">
        <v>84</v>
      </c>
      <c r="B54" s="14">
        <f>B52+B53</f>
        <v>-1586400</v>
      </c>
      <c r="C54" s="14">
        <f>C52+C53</f>
        <v>-2379600</v>
      </c>
      <c r="D54" s="14">
        <f>D52+D53</f>
        <v>3948160</v>
      </c>
      <c r="E54" s="14">
        <f>E52+E53</f>
        <v>7469840</v>
      </c>
      <c r="F54" s="14">
        <f>F52+F53</f>
        <v>6860000</v>
      </c>
    </row>
    <row r="55" spans="1:6" x14ac:dyDescent="0.25">
      <c r="A55" s="12" t="s">
        <v>85</v>
      </c>
      <c r="B55" s="22">
        <f>IRR(B54:F54)</f>
        <v>0.8626036987758889</v>
      </c>
      <c r="C55" s="8" t="s">
        <v>86</v>
      </c>
      <c r="D55" s="8"/>
      <c r="E55" s="8"/>
      <c r="F55" s="8"/>
    </row>
    <row r="57" spans="1:6" x14ac:dyDescent="0.25">
      <c r="A57" s="4" t="s">
        <v>87</v>
      </c>
      <c r="B57" s="5"/>
      <c r="C57" s="5"/>
      <c r="D57" s="5"/>
      <c r="E57" s="5"/>
      <c r="F57" s="5"/>
    </row>
    <row r="58" spans="1:3" x14ac:dyDescent="0.25">
      <c r="A58" s="23" t="s">
        <v>88</v>
      </c>
      <c r="B58" s="24" t="s">
        <v>39</v>
      </c>
      <c r="C58" s="24" t="s">
        <v>89</v>
      </c>
    </row>
    <row r="59" spans="1:3" x14ac:dyDescent="0.25">
      <c r="A59" s="6" t="s">
        <v>90</v>
      </c>
      <c r="B59" s="14">
        <v>19600000</v>
      </c>
      <c r="C59" s="21">
        <v>42000000</v>
      </c>
    </row>
    <row r="60" spans="1:3" x14ac:dyDescent="0.25">
      <c r="A60" s="6" t="s">
        <v>91</v>
      </c>
      <c r="B60" s="14">
        <v>5288000</v>
      </c>
      <c r="C60" s="21">
        <v>24636000</v>
      </c>
    </row>
    <row r="61" spans="1:3" x14ac:dyDescent="0.25">
      <c r="A61" s="6" t="s">
        <v>55</v>
      </c>
      <c r="B61" s="14">
        <v>14312000</v>
      </c>
      <c r="C61" s="21">
        <v>17364000</v>
      </c>
    </row>
    <row r="62" spans="1:3" x14ac:dyDescent="0.25">
      <c r="A62" s="6" t="s">
        <v>59</v>
      </c>
      <c r="B62" s="17">
        <v>2.706505295007564</v>
      </c>
      <c r="C62" s="25">
        <v>0.7048222113979542</v>
      </c>
    </row>
    <row r="63" spans="1:6" x14ac:dyDescent="0.25">
      <c r="A63" s="8" t="s">
        <v>92</v>
      </c>
      <c r="B63" s="8"/>
      <c r="C63" s="8"/>
      <c r="D63" s="8"/>
      <c r="E63" s="8"/>
      <c r="F63" s="8"/>
    </row>
    <row r="65" spans="1:6" x14ac:dyDescent="0.25">
      <c r="A65" s="4" t="s">
        <v>93</v>
      </c>
      <c r="B65" s="5"/>
      <c r="C65" s="5"/>
      <c r="D65" s="5"/>
      <c r="E65" s="5"/>
      <c r="F65" s="5"/>
    </row>
    <row r="66" spans="1:4" x14ac:dyDescent="0.25">
      <c r="A66" s="26" t="s">
        <v>94</v>
      </c>
      <c r="B66" s="27" t="s">
        <v>95</v>
      </c>
      <c r="C66" s="27" t="s">
        <v>96</v>
      </c>
      <c r="D66" s="27" t="s">
        <v>97</v>
      </c>
    </row>
    <row r="67" spans="1:4" x14ac:dyDescent="0.25">
      <c r="A67" s="28" t="s">
        <v>98</v>
      </c>
      <c r="B67" s="29">
        <v>8.104</v>
      </c>
      <c r="C67" s="29">
        <v>10.238</v>
      </c>
      <c r="D67" s="29">
        <v>12.372</v>
      </c>
    </row>
    <row r="68" spans="1:4" x14ac:dyDescent="0.25">
      <c r="A68" s="28" t="s">
        <v>99</v>
      </c>
      <c r="B68" s="29">
        <v>11.596</v>
      </c>
      <c r="C68" s="30">
        <v>14.312</v>
      </c>
      <c r="D68" s="29">
        <v>17.028</v>
      </c>
    </row>
    <row r="69" spans="1:4" x14ac:dyDescent="0.25">
      <c r="A69" s="28" t="s">
        <v>100</v>
      </c>
      <c r="B69" s="29">
        <v>15.088</v>
      </c>
      <c r="C69" s="29">
        <v>18.386</v>
      </c>
      <c r="D69" s="29">
        <v>21.684</v>
      </c>
    </row>
    <row r="70" spans="1:6" x14ac:dyDescent="0.25">
      <c r="A70" s="8" t="s">
        <v>101</v>
      </c>
      <c r="B70" s="8"/>
      <c r="C70" s="8"/>
      <c r="D70" s="8"/>
      <c r="E70" s="8"/>
      <c r="F70" s="8"/>
    </row>
    <row r="72" ht="42" customHeight="1" spans="1:6" x14ac:dyDescent="0.25">
      <c r="A72" s="31" t="s">
        <v>102</v>
      </c>
      <c r="B72" s="31"/>
      <c r="C72" s="31"/>
      <c r="D72" s="31"/>
      <c r="E72" s="31"/>
      <c r="F72" s="31"/>
    </row>
  </sheetData>
  <mergeCells count="38">
    <mergeCell ref="A2:F2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5:F15"/>
    <mergeCell ref="C16:F16"/>
    <mergeCell ref="C17:F17"/>
    <mergeCell ref="C18:F18"/>
    <mergeCell ref="C19:F19"/>
    <mergeCell ref="C20:F20"/>
    <mergeCell ref="C21:F21"/>
    <mergeCell ref="C24:F24"/>
    <mergeCell ref="C25:F25"/>
    <mergeCell ref="C28:F28"/>
    <mergeCell ref="C31:F31"/>
    <mergeCell ref="C32:F32"/>
    <mergeCell ref="C33:F33"/>
    <mergeCell ref="C34:F34"/>
    <mergeCell ref="C35:F35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55:F55"/>
    <mergeCell ref="A63:F63"/>
    <mergeCell ref="A70:F70"/>
    <mergeCell ref="A72:F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6" width="12" customWidth="1"/>
  </cols>
  <sheetData>
    <row r="1" ht="24" customHeight="1" spans="1:6" x14ac:dyDescent="0.25">
      <c r="A1" s="1" t="s">
        <v>103</v>
      </c>
      <c r="B1" s="2"/>
      <c r="C1" s="2"/>
      <c r="D1" s="2"/>
      <c r="E1" s="2"/>
      <c r="F1" s="2"/>
    </row>
    <row r="2" spans="1:6" x14ac:dyDescent="0.25">
      <c r="A2" s="3" t="s">
        <v>104</v>
      </c>
      <c r="B2" s="3"/>
      <c r="C2" s="3"/>
      <c r="D2" s="3"/>
      <c r="E2" s="3"/>
      <c r="F2" s="3"/>
    </row>
    <row r="4" spans="1:6" x14ac:dyDescent="0.25">
      <c r="A4" s="4" t="s">
        <v>2</v>
      </c>
      <c r="B4" s="5"/>
      <c r="C4" s="5"/>
      <c r="D4" s="5"/>
      <c r="E4" s="5"/>
      <c r="F4" s="5"/>
    </row>
    <row r="5" spans="1:6" x14ac:dyDescent="0.25">
      <c r="A5" s="6" t="s">
        <v>105</v>
      </c>
      <c r="B5" s="7">
        <v>100</v>
      </c>
      <c r="C5" s="8" t="s">
        <v>106</v>
      </c>
      <c r="D5" s="8"/>
      <c r="E5" s="8"/>
      <c r="F5" s="8"/>
    </row>
    <row r="6" spans="1:6" x14ac:dyDescent="0.25">
      <c r="A6" s="6" t="s">
        <v>107</v>
      </c>
      <c r="B6" s="10">
        <v>325000</v>
      </c>
      <c r="C6" s="8" t="s">
        <v>108</v>
      </c>
      <c r="D6" s="8"/>
      <c r="E6" s="8"/>
      <c r="F6" s="8"/>
    </row>
    <row r="7" spans="1:6" x14ac:dyDescent="0.25">
      <c r="A7" s="6" t="s">
        <v>109</v>
      </c>
      <c r="B7" s="10">
        <v>250</v>
      </c>
      <c r="C7" s="8" t="s">
        <v>110</v>
      </c>
      <c r="D7" s="8"/>
      <c r="E7" s="8"/>
      <c r="F7" s="8"/>
    </row>
    <row r="8" spans="1:6" x14ac:dyDescent="0.25">
      <c r="A8" s="6" t="s">
        <v>111</v>
      </c>
      <c r="B8" s="11">
        <v>0.62</v>
      </c>
      <c r="C8" s="8" t="s">
        <v>112</v>
      </c>
      <c r="D8" s="8"/>
      <c r="E8" s="8"/>
      <c r="F8" s="8"/>
    </row>
    <row r="9" spans="1:6" x14ac:dyDescent="0.25">
      <c r="A9" s="6" t="s">
        <v>113</v>
      </c>
      <c r="B9" s="32">
        <v>1.6</v>
      </c>
      <c r="C9" s="8" t="s">
        <v>114</v>
      </c>
      <c r="D9" s="8"/>
      <c r="E9" s="8"/>
      <c r="F9" s="8"/>
    </row>
    <row r="10" spans="1:6" x14ac:dyDescent="0.25">
      <c r="A10" s="6" t="s">
        <v>115</v>
      </c>
      <c r="B10" s="11">
        <v>0.31</v>
      </c>
      <c r="C10" s="8" t="s">
        <v>116</v>
      </c>
      <c r="D10" s="8"/>
      <c r="E10" s="8"/>
      <c r="F10" s="8"/>
    </row>
    <row r="11" spans="1:6" x14ac:dyDescent="0.25">
      <c r="A11" s="6" t="s">
        <v>117</v>
      </c>
      <c r="B11" s="7">
        <v>16000</v>
      </c>
      <c r="C11" s="8" t="s">
        <v>118</v>
      </c>
      <c r="D11" s="8"/>
      <c r="E11" s="8"/>
      <c r="F11" s="8"/>
    </row>
    <row r="12" spans="1:6" x14ac:dyDescent="0.25">
      <c r="A12" s="6" t="s">
        <v>119</v>
      </c>
      <c r="B12" s="10">
        <v>550</v>
      </c>
      <c r="C12" s="8" t="s">
        <v>120</v>
      </c>
      <c r="D12" s="8"/>
      <c r="E12" s="8"/>
      <c r="F12" s="8"/>
    </row>
    <row r="13" spans="1:6" x14ac:dyDescent="0.25">
      <c r="A13" s="6" t="s">
        <v>121</v>
      </c>
      <c r="B13" s="10">
        <v>700</v>
      </c>
      <c r="C13" s="8" t="s">
        <v>122</v>
      </c>
      <c r="D13" s="8"/>
      <c r="E13" s="8"/>
      <c r="F13" s="8"/>
    </row>
    <row r="14" spans="1:6" x14ac:dyDescent="0.25">
      <c r="A14" s="6" t="s">
        <v>123</v>
      </c>
      <c r="B14" s="11">
        <v>0.09</v>
      </c>
      <c r="C14" s="8" t="s">
        <v>124</v>
      </c>
      <c r="D14" s="8"/>
      <c r="E14" s="8"/>
      <c r="F14" s="8"/>
    </row>
    <row r="15" spans="1:6" x14ac:dyDescent="0.25">
      <c r="A15" s="6" t="s">
        <v>125</v>
      </c>
      <c r="B15" s="10">
        <v>2000000</v>
      </c>
      <c r="C15" s="8" t="s">
        <v>126</v>
      </c>
      <c r="D15" s="8"/>
      <c r="E15" s="8"/>
      <c r="F15" s="8"/>
    </row>
    <row r="16" spans="1:2" x14ac:dyDescent="0.25">
      <c r="A16" s="6" t="s">
        <v>127</v>
      </c>
      <c r="B16" s="10">
        <v>3700000</v>
      </c>
    </row>
    <row r="17" spans="1:6" x14ac:dyDescent="0.25">
      <c r="A17" s="6" t="s">
        <v>128</v>
      </c>
      <c r="B17" s="11">
        <v>0.08</v>
      </c>
      <c r="C17" s="8" t="s">
        <v>129</v>
      </c>
      <c r="D17" s="8"/>
      <c r="E17" s="8"/>
      <c r="F17" s="8"/>
    </row>
    <row r="18" spans="1:2" x14ac:dyDescent="0.25">
      <c r="A18" s="6" t="s">
        <v>130</v>
      </c>
      <c r="B18" s="11">
        <v>0.6</v>
      </c>
    </row>
    <row r="19" spans="1:2" x14ac:dyDescent="0.25">
      <c r="A19" s="6" t="s">
        <v>131</v>
      </c>
      <c r="B19" s="11">
        <v>0.07</v>
      </c>
    </row>
    <row r="20" spans="1:2" x14ac:dyDescent="0.25">
      <c r="A20" s="6" t="s">
        <v>132</v>
      </c>
      <c r="B20" s="11">
        <v>0.03</v>
      </c>
    </row>
    <row r="21" spans="1:6" x14ac:dyDescent="0.25">
      <c r="A21" s="6" t="s">
        <v>133</v>
      </c>
      <c r="B21" s="11">
        <v>0.5</v>
      </c>
      <c r="C21" s="8" t="s">
        <v>134</v>
      </c>
      <c r="D21" s="8"/>
      <c r="E21" s="8"/>
      <c r="F21" s="8"/>
    </row>
    <row r="22" spans="1:6" x14ac:dyDescent="0.25">
      <c r="A22" s="6" t="s">
        <v>135</v>
      </c>
      <c r="B22" s="11">
        <v>0.5</v>
      </c>
      <c r="C22" s="8" t="s">
        <v>136</v>
      </c>
      <c r="D22" s="8"/>
      <c r="E22" s="8"/>
      <c r="F22" s="8"/>
    </row>
    <row r="24" spans="1:6" x14ac:dyDescent="0.25">
      <c r="A24" s="4" t="s">
        <v>137</v>
      </c>
      <c r="B24" s="5"/>
      <c r="C24" s="5"/>
      <c r="D24" s="5"/>
      <c r="E24" s="5"/>
      <c r="F24" s="5"/>
    </row>
    <row r="25" spans="1:6" x14ac:dyDescent="0.25">
      <c r="A25" s="6" t="s">
        <v>138</v>
      </c>
      <c r="B25" s="10">
        <f>B5*B6</f>
        <v>32500000</v>
      </c>
      <c r="C25" s="8" t="s">
        <v>139</v>
      </c>
      <c r="D25" s="8"/>
      <c r="E25" s="8"/>
      <c r="F25" s="8"/>
    </row>
    <row r="26" spans="1:6" x14ac:dyDescent="0.25">
      <c r="A26" s="6" t="s">
        <v>140</v>
      </c>
      <c r="B26" s="10">
        <f>B5*365*B7*B8</f>
        <v>5657500</v>
      </c>
      <c r="C26" s="8" t="s">
        <v>141</v>
      </c>
      <c r="D26" s="8"/>
      <c r="E26" s="8"/>
      <c r="F26" s="8"/>
    </row>
    <row r="27" spans="1:6" x14ac:dyDescent="0.25">
      <c r="A27" s="6" t="s">
        <v>142</v>
      </c>
      <c r="B27" s="10">
        <f>B26*B9</f>
        <v>9052000</v>
      </c>
      <c r="C27" s="8" t="s">
        <v>143</v>
      </c>
      <c r="D27" s="8"/>
      <c r="E27" s="8"/>
      <c r="F27" s="8"/>
    </row>
    <row r="28" spans="1:6" x14ac:dyDescent="0.25">
      <c r="A28" s="12" t="s">
        <v>144</v>
      </c>
      <c r="B28" s="14">
        <f>B27*B10</f>
        <v>2806120</v>
      </c>
      <c r="C28" s="8" t="s">
        <v>145</v>
      </c>
      <c r="D28" s="8"/>
      <c r="E28" s="8"/>
      <c r="F28" s="8"/>
    </row>
    <row r="30" spans="1:6" x14ac:dyDescent="0.25">
      <c r="A30" s="4" t="s">
        <v>146</v>
      </c>
      <c r="B30" s="5"/>
      <c r="C30" s="5"/>
      <c r="D30" s="5"/>
      <c r="E30" s="5"/>
      <c r="F30" s="5"/>
    </row>
    <row r="31" spans="1:6" x14ac:dyDescent="0.25">
      <c r="A31" s="6" t="s">
        <v>147</v>
      </c>
      <c r="B31" s="10">
        <f>B11*B12</f>
        <v>8800000</v>
      </c>
      <c r="C31" s="8" t="s">
        <v>148</v>
      </c>
      <c r="D31" s="8"/>
      <c r="E31" s="8"/>
      <c r="F31" s="8"/>
    </row>
    <row r="32" spans="1:6" x14ac:dyDescent="0.25">
      <c r="A32" s="6" t="s">
        <v>149</v>
      </c>
      <c r="B32" s="10">
        <f>B11*B13</f>
        <v>11200000</v>
      </c>
      <c r="C32" s="8" t="s">
        <v>150</v>
      </c>
      <c r="D32" s="8"/>
      <c r="E32" s="8"/>
      <c r="F32" s="8"/>
    </row>
    <row r="33" spans="1:6" x14ac:dyDescent="0.25">
      <c r="A33" s="12" t="s">
        <v>151</v>
      </c>
      <c r="B33" s="14">
        <f>B32*B14</f>
        <v>1008000</v>
      </c>
      <c r="C33" s="8" t="s">
        <v>124</v>
      </c>
      <c r="D33" s="8"/>
      <c r="E33" s="8"/>
      <c r="F33" s="8"/>
    </row>
    <row r="35" spans="1:6" x14ac:dyDescent="0.25">
      <c r="A35" s="4" t="s">
        <v>152</v>
      </c>
      <c r="B35" s="5"/>
      <c r="C35" s="5"/>
      <c r="D35" s="5"/>
      <c r="E35" s="5"/>
      <c r="F35" s="5"/>
    </row>
    <row r="36" spans="1:6" x14ac:dyDescent="0.25">
      <c r="A36" s="15" t="s">
        <v>153</v>
      </c>
      <c r="B36" s="16">
        <f>B25+B31+B15+B16</f>
        <v>47000000</v>
      </c>
      <c r="C36" s="8" t="s">
        <v>154</v>
      </c>
      <c r="D36" s="8"/>
      <c r="E36" s="8"/>
      <c r="F36" s="8"/>
    </row>
    <row r="37" spans="1:6" x14ac:dyDescent="0.25">
      <c r="A37" s="15" t="s">
        <v>155</v>
      </c>
      <c r="B37" s="16">
        <f>B28+B33</f>
        <v>3814120</v>
      </c>
      <c r="C37" s="8" t="s">
        <v>156</v>
      </c>
      <c r="D37" s="8"/>
      <c r="E37" s="8"/>
      <c r="F37" s="8"/>
    </row>
    <row r="38" spans="1:6" x14ac:dyDescent="0.25">
      <c r="A38" s="12" t="s">
        <v>157</v>
      </c>
      <c r="B38" s="11">
        <f>B37/B36</f>
        <v>0.08115148936170213</v>
      </c>
      <c r="C38" s="8" t="s">
        <v>158</v>
      </c>
      <c r="D38" s="8"/>
      <c r="E38" s="8"/>
      <c r="F38" s="8"/>
    </row>
    <row r="39" spans="1:6" x14ac:dyDescent="0.25">
      <c r="A39" s="6" t="s">
        <v>159</v>
      </c>
      <c r="B39" s="10">
        <f>B36*B18</f>
        <v>28200000</v>
      </c>
      <c r="C39" s="8" t="s">
        <v>160</v>
      </c>
      <c r="D39" s="8"/>
      <c r="E39" s="8"/>
      <c r="F39" s="8"/>
    </row>
    <row r="40" spans="1:6" x14ac:dyDescent="0.25">
      <c r="A40" s="6" t="s">
        <v>161</v>
      </c>
      <c r="B40" s="10">
        <f>B36-B39</f>
        <v>18800000</v>
      </c>
      <c r="C40" s="8" t="s">
        <v>162</v>
      </c>
      <c r="D40" s="8"/>
      <c r="E40" s="8"/>
      <c r="F40" s="8"/>
    </row>
    <row r="41" spans="1:6" x14ac:dyDescent="0.25">
      <c r="A41" s="12" t="s">
        <v>163</v>
      </c>
      <c r="B41" s="10">
        <f>B37-B39*B19</f>
        <v>1840119.9999999998</v>
      </c>
      <c r="C41" s="8" t="s">
        <v>164</v>
      </c>
      <c r="D41" s="8"/>
      <c r="E41" s="8"/>
      <c r="F41" s="8"/>
    </row>
    <row r="42" spans="1:6" x14ac:dyDescent="0.25">
      <c r="A42" s="6" t="s">
        <v>165</v>
      </c>
      <c r="B42" s="11">
        <f>B41/B40</f>
        <v>0.09787872340425531</v>
      </c>
      <c r="C42" s="8" t="s">
        <v>166</v>
      </c>
      <c r="D42" s="8"/>
      <c r="E42" s="8"/>
      <c r="F42" s="8"/>
    </row>
    <row r="44" spans="1:6" x14ac:dyDescent="0.25">
      <c r="A44" s="4" t="s">
        <v>167</v>
      </c>
      <c r="B44" s="5"/>
      <c r="C44" s="5"/>
      <c r="D44" s="5"/>
      <c r="E44" s="5"/>
      <c r="F44" s="5"/>
    </row>
    <row r="45" spans="1:6" x14ac:dyDescent="0.25">
      <c r="A45" s="6" t="s">
        <v>168</v>
      </c>
      <c r="B45" s="10">
        <f>B37*(1+B20)^4</f>
        <v>4292825.6623972</v>
      </c>
      <c r="C45" s="8" t="s">
        <v>169</v>
      </c>
      <c r="D45" s="8"/>
      <c r="E45" s="8"/>
      <c r="F45" s="8"/>
    </row>
    <row r="46" spans="1:6" x14ac:dyDescent="0.25">
      <c r="A46" s="12" t="s">
        <v>170</v>
      </c>
      <c r="B46" s="10">
        <f>B45/B17</f>
        <v>53660320.779965</v>
      </c>
      <c r="C46" s="8" t="s">
        <v>171</v>
      </c>
      <c r="D46" s="8"/>
      <c r="E46" s="8"/>
      <c r="F46" s="8"/>
    </row>
    <row r="47" spans="1:6" x14ac:dyDescent="0.25">
      <c r="A47" s="6" t="s">
        <v>172</v>
      </c>
      <c r="B47" s="10">
        <f>B46-B39</f>
        <v>25460320.779965</v>
      </c>
      <c r="C47" s="8" t="s">
        <v>173</v>
      </c>
      <c r="D47" s="8"/>
      <c r="E47" s="8"/>
      <c r="F47" s="8"/>
    </row>
    <row r="49" spans="1:6" x14ac:dyDescent="0.25">
      <c r="A49" s="4" t="s">
        <v>174</v>
      </c>
      <c r="B49" s="5"/>
      <c r="C49" s="5"/>
      <c r="D49" s="5"/>
      <c r="E49" s="5"/>
      <c r="F49" s="5"/>
    </row>
    <row r="50" spans="1:2" x14ac:dyDescent="0.25">
      <c r="A50" s="6" t="s">
        <v>175</v>
      </c>
      <c r="B50" s="21">
        <f>-B40*B21</f>
        <v>-9400000</v>
      </c>
    </row>
    <row r="51" spans="1:2" x14ac:dyDescent="0.25">
      <c r="A51" s="6" t="s">
        <v>176</v>
      </c>
      <c r="B51" s="21">
        <f>-B40*(1-B21)</f>
        <v>-9400000</v>
      </c>
    </row>
    <row r="52" spans="1:2" x14ac:dyDescent="0.25">
      <c r="A52" s="6" t="s">
        <v>177</v>
      </c>
      <c r="B52" s="21">
        <f>B41*B22</f>
        <v>920059.9999999999</v>
      </c>
    </row>
    <row r="53" spans="1:2" x14ac:dyDescent="0.25">
      <c r="A53" s="6" t="s">
        <v>178</v>
      </c>
      <c r="B53" s="21">
        <f>B41</f>
        <v>1840119.9999999998</v>
      </c>
    </row>
    <row r="54" spans="1:2" x14ac:dyDescent="0.25">
      <c r="A54" s="6" t="s">
        <v>179</v>
      </c>
      <c r="B54" s="21">
        <f>B41*(1+B20)</f>
        <v>1895323.5999999999</v>
      </c>
    </row>
    <row r="55" spans="1:2" x14ac:dyDescent="0.25">
      <c r="A55" s="6" t="s">
        <v>180</v>
      </c>
      <c r="B55" s="21">
        <f>B41*(1+B20)^2</f>
        <v>1952183.3079999997</v>
      </c>
    </row>
    <row r="56" spans="1:2" x14ac:dyDescent="0.25">
      <c r="A56" s="6" t="s">
        <v>181</v>
      </c>
      <c r="B56" s="21">
        <f>B41*(1+B20)^3</f>
        <v>2010748.8072399998</v>
      </c>
    </row>
    <row r="57" spans="1:2" x14ac:dyDescent="0.25">
      <c r="A57" s="6" t="s">
        <v>182</v>
      </c>
      <c r="B57" s="21">
        <f>B41*(1+B20)^4+B47</f>
        <v>27531392.051422197</v>
      </c>
    </row>
    <row r="58" spans="1:6" x14ac:dyDescent="0.25">
      <c r="A58" s="12" t="s">
        <v>183</v>
      </c>
      <c r="B58" s="17">
        <f>SUM(B52:B57)/-(B50+B51)</f>
        <v>1.9228631790777764</v>
      </c>
      <c r="C58" s="8" t="s">
        <v>184</v>
      </c>
      <c r="D58" s="8"/>
      <c r="E58" s="8"/>
      <c r="F58" s="8"/>
    </row>
    <row r="59" spans="1:6" x14ac:dyDescent="0.25">
      <c r="A59" s="12" t="s">
        <v>185</v>
      </c>
      <c r="B59" s="22">
        <f>IRR(B50:B57)</f>
        <v>0.12039129900378642</v>
      </c>
      <c r="C59" s="8" t="s">
        <v>186</v>
      </c>
      <c r="D59" s="8"/>
      <c r="E59" s="8"/>
      <c r="F59" s="8"/>
    </row>
    <row r="61" spans="1:6" x14ac:dyDescent="0.25">
      <c r="A61" s="4" t="s">
        <v>187</v>
      </c>
      <c r="B61" s="5"/>
      <c r="C61" s="5"/>
      <c r="D61" s="5"/>
      <c r="E61" s="5"/>
      <c r="F61" s="5"/>
    </row>
    <row r="62" spans="1:6" x14ac:dyDescent="0.25">
      <c r="A62" s="6" t="s">
        <v>188</v>
      </c>
      <c r="B62" s="11">
        <v>0.22</v>
      </c>
      <c r="C62" s="8" t="s">
        <v>189</v>
      </c>
      <c r="D62" s="8"/>
      <c r="E62" s="8"/>
      <c r="F62" s="8"/>
    </row>
    <row r="63" spans="1:6" x14ac:dyDescent="0.25">
      <c r="A63" s="12" t="s">
        <v>190</v>
      </c>
      <c r="B63" s="14">
        <f>B37*(1+B62)</f>
        <v>4653226.399999999</v>
      </c>
      <c r="C63" s="8" t="s">
        <v>191</v>
      </c>
      <c r="D63" s="8"/>
      <c r="E63" s="8"/>
      <c r="F63" s="8"/>
    </row>
    <row r="64" spans="1:6" x14ac:dyDescent="0.25">
      <c r="A64" s="6" t="s">
        <v>192</v>
      </c>
      <c r="B64" s="11">
        <v>0.075</v>
      </c>
      <c r="C64" s="8" t="s">
        <v>193</v>
      </c>
      <c r="D64" s="8"/>
      <c r="E64" s="8"/>
      <c r="F64" s="8"/>
    </row>
    <row r="65" spans="1:6" x14ac:dyDescent="0.25">
      <c r="A65" s="6" t="s">
        <v>194</v>
      </c>
      <c r="B65" s="11">
        <v>0.65</v>
      </c>
      <c r="C65" s="8" t="s">
        <v>195</v>
      </c>
      <c r="D65" s="8"/>
      <c r="E65" s="8"/>
      <c r="F65" s="8"/>
    </row>
    <row r="66" spans="1:6" x14ac:dyDescent="0.25">
      <c r="A66" s="6" t="s">
        <v>196</v>
      </c>
      <c r="B66" s="11">
        <v>0.4</v>
      </c>
      <c r="C66" s="8" t="s">
        <v>136</v>
      </c>
      <c r="D66" s="8"/>
      <c r="E66" s="8"/>
      <c r="F66" s="8"/>
    </row>
    <row r="67" spans="1:6" x14ac:dyDescent="0.25">
      <c r="A67" s="12" t="s">
        <v>197</v>
      </c>
      <c r="B67" s="11">
        <f>B63/B36</f>
        <v>0.09900481702127659</v>
      </c>
      <c r="C67" s="8" t="s">
        <v>198</v>
      </c>
      <c r="D67" s="8"/>
      <c r="E67" s="8"/>
      <c r="F67" s="8"/>
    </row>
    <row r="68" spans="1:6" x14ac:dyDescent="0.25">
      <c r="A68" s="12" t="s">
        <v>199</v>
      </c>
      <c r="B68" s="10">
        <f>B63/B64</f>
        <v>62043018.666666664</v>
      </c>
      <c r="C68" s="8" t="s">
        <v>200</v>
      </c>
      <c r="D68" s="8"/>
      <c r="E68" s="8"/>
      <c r="F68" s="8"/>
    </row>
    <row r="69" spans="1:6" x14ac:dyDescent="0.25">
      <c r="A69" s="6" t="s">
        <v>201</v>
      </c>
      <c r="B69" s="10">
        <f>B36*B65</f>
        <v>30550000</v>
      </c>
      <c r="C69" s="8" t="s">
        <v>202</v>
      </c>
      <c r="D69" s="8"/>
      <c r="E69" s="8"/>
      <c r="F69" s="8"/>
    </row>
    <row r="70" spans="1:6" x14ac:dyDescent="0.25">
      <c r="A70" s="6" t="s">
        <v>203</v>
      </c>
      <c r="B70" s="10">
        <f>B36-B69</f>
        <v>16450000</v>
      </c>
      <c r="C70" s="8" t="s">
        <v>162</v>
      </c>
      <c r="D70" s="8"/>
      <c r="E70" s="8"/>
      <c r="F70" s="8"/>
    </row>
    <row r="71" spans="1:6" x14ac:dyDescent="0.25">
      <c r="A71" s="6" t="s">
        <v>204</v>
      </c>
      <c r="B71" s="10">
        <f>B63-B69*B19</f>
        <v>2514726.3999999994</v>
      </c>
      <c r="C71" s="8" t="s">
        <v>205</v>
      </c>
      <c r="D71" s="8"/>
      <c r="E71" s="8"/>
      <c r="F71" s="8"/>
    </row>
    <row r="72" spans="1:6" x14ac:dyDescent="0.25">
      <c r="A72" s="6" t="s">
        <v>172</v>
      </c>
      <c r="B72" s="10">
        <f>B68-B69</f>
        <v>31493018.666666664</v>
      </c>
      <c r="C72" s="8" t="s">
        <v>206</v>
      </c>
      <c r="D72" s="8"/>
      <c r="E72" s="8"/>
      <c r="F72" s="8"/>
    </row>
    <row r="74" spans="1:6" x14ac:dyDescent="0.25">
      <c r="A74" s="4" t="s">
        <v>207</v>
      </c>
      <c r="B74" s="5"/>
      <c r="C74" s="5"/>
      <c r="D74" s="5"/>
      <c r="E74" s="5"/>
      <c r="F74" s="5"/>
    </row>
    <row r="75" spans="1:2" x14ac:dyDescent="0.25">
      <c r="A75" s="6" t="s">
        <v>175</v>
      </c>
      <c r="B75" s="21">
        <f>-B70*B21</f>
        <v>-8225000</v>
      </c>
    </row>
    <row r="76" spans="1:2" x14ac:dyDescent="0.25">
      <c r="A76" s="6" t="s">
        <v>176</v>
      </c>
      <c r="B76" s="21">
        <f>-B70*(1-B21)</f>
        <v>-8225000</v>
      </c>
    </row>
    <row r="77" spans="1:2" x14ac:dyDescent="0.25">
      <c r="A77" s="6" t="s">
        <v>177</v>
      </c>
      <c r="B77" s="21">
        <f>B71*B66</f>
        <v>1005890.5599999998</v>
      </c>
    </row>
    <row r="78" spans="1:2" x14ac:dyDescent="0.25">
      <c r="A78" s="6" t="s">
        <v>178</v>
      </c>
      <c r="B78" s="21">
        <f>B71</f>
        <v>2514726.3999999994</v>
      </c>
    </row>
    <row r="79" spans="1:2" x14ac:dyDescent="0.25">
      <c r="A79" s="6" t="s">
        <v>179</v>
      </c>
      <c r="B79" s="21">
        <f>B71+B72</f>
        <v>34007745.06666666</v>
      </c>
    </row>
    <row r="80" spans="1:6" x14ac:dyDescent="0.25">
      <c r="A80" s="12" t="s">
        <v>208</v>
      </c>
      <c r="B80" s="17">
        <f>SUM(B77:B79)/-(B75+B76)</f>
        <v>2.281359393718338</v>
      </c>
      <c r="C80" s="8" t="s">
        <v>209</v>
      </c>
      <c r="D80" s="8"/>
      <c r="E80" s="8"/>
      <c r="F80" s="8"/>
    </row>
    <row r="81" spans="1:6" x14ac:dyDescent="0.25">
      <c r="A81" s="12" t="s">
        <v>210</v>
      </c>
      <c r="B81" s="22">
        <f>IRR(B75:B79)</f>
        <v>0.27563551751308235</v>
      </c>
      <c r="C81" s="8" t="s">
        <v>211</v>
      </c>
      <c r="D81" s="8"/>
      <c r="E81" s="8"/>
      <c r="F81" s="8"/>
    </row>
    <row r="83" spans="1:6" x14ac:dyDescent="0.25">
      <c r="A83" s="4" t="s">
        <v>212</v>
      </c>
      <c r="B83" s="5"/>
      <c r="C83" s="5"/>
      <c r="D83" s="5"/>
      <c r="E83" s="5"/>
      <c r="F83" s="5"/>
    </row>
    <row r="84" spans="1:5" x14ac:dyDescent="0.25">
      <c r="A84" s="26" t="s">
        <v>213</v>
      </c>
      <c r="B84" s="33">
        <v>0.07</v>
      </c>
      <c r="C84" s="33">
        <v>0.075</v>
      </c>
      <c r="D84" s="33">
        <v>0.08</v>
      </c>
      <c r="E84" s="33">
        <v>0.085</v>
      </c>
    </row>
    <row r="85" spans="1:5" x14ac:dyDescent="0.25">
      <c r="A85" s="28" t="s">
        <v>214</v>
      </c>
      <c r="B85" s="34">
        <v>0.2413590494653527</v>
      </c>
      <c r="C85" s="34">
        <v>0.1981010805160578</v>
      </c>
      <c r="D85" s="34">
        <v>0.15643182900562425</v>
      </c>
      <c r="E85" s="34">
        <v>0.11594756701498155</v>
      </c>
    </row>
    <row r="86" spans="1:5" x14ac:dyDescent="0.25">
      <c r="A86" s="28" t="s">
        <v>215</v>
      </c>
      <c r="B86" s="34">
        <v>0.3166711576166231</v>
      </c>
      <c r="C86" s="35">
        <v>0.27563551751308235</v>
      </c>
      <c r="D86" s="34">
        <v>0.2365089547947662</v>
      </c>
      <c r="E86" s="34">
        <v>0.1989302587607228</v>
      </c>
    </row>
    <row r="87" spans="1:5" x14ac:dyDescent="0.25">
      <c r="A87" s="28" t="s">
        <v>216</v>
      </c>
      <c r="B87" s="34">
        <v>0.3879656267349022</v>
      </c>
      <c r="C87" s="34">
        <v>0.3484741336946878</v>
      </c>
      <c r="D87" s="34">
        <v>0.31109801406577653</v>
      </c>
      <c r="E87" s="34">
        <v>0.2754915069098355</v>
      </c>
    </row>
    <row r="88" spans="1:6" x14ac:dyDescent="0.25">
      <c r="A88" s="8" t="s">
        <v>217</v>
      </c>
      <c r="B88" s="8"/>
      <c r="C88" s="8"/>
      <c r="D88" s="8"/>
      <c r="E88" s="8"/>
      <c r="F88" s="8"/>
    </row>
    <row r="90" ht="50" customHeight="1" spans="1:6" x14ac:dyDescent="0.25">
      <c r="A90" s="31" t="s">
        <v>218</v>
      </c>
      <c r="B90" s="31"/>
      <c r="C90" s="31"/>
      <c r="D90" s="31"/>
      <c r="E90" s="31"/>
      <c r="F90" s="31"/>
    </row>
  </sheetData>
  <mergeCells count="49">
    <mergeCell ref="A2:F2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7:F17"/>
    <mergeCell ref="C21:F21"/>
    <mergeCell ref="C22:F22"/>
    <mergeCell ref="C25:F25"/>
    <mergeCell ref="C26:F26"/>
    <mergeCell ref="C27:F27"/>
    <mergeCell ref="C28:F28"/>
    <mergeCell ref="C31:F31"/>
    <mergeCell ref="C32:F32"/>
    <mergeCell ref="C33:F33"/>
    <mergeCell ref="C36:F36"/>
    <mergeCell ref="C37:F37"/>
    <mergeCell ref="C38:F38"/>
    <mergeCell ref="C39:F39"/>
    <mergeCell ref="C40:F40"/>
    <mergeCell ref="C41:F41"/>
    <mergeCell ref="C42:F42"/>
    <mergeCell ref="C45:F45"/>
    <mergeCell ref="C46:F46"/>
    <mergeCell ref="C47:F47"/>
    <mergeCell ref="C58:F58"/>
    <mergeCell ref="C59:F59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80:F80"/>
    <mergeCell ref="C81:F81"/>
    <mergeCell ref="A88:F88"/>
    <mergeCell ref="A90:F9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Entitled-Lot Model</vt:lpstr>
      <vt:lpstr>Phase 2 — Hospitality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 Strategies</dc:creator>
  <dc:title>Queenstown Harbor — Entitled-Lot (Capital-Light) Model</dc:title>
  <dc:subject/>
  <dc:description/>
  <cp:keywords/>
  <cp:category/>
  <cp:lastModifiedBy>Unknown</cp:lastModifiedBy>
  <dcterms:created xsi:type="dcterms:W3CDTF">2026-06-10T14:01:01Z</dcterms:created>
  <dcterms:modified xsi:type="dcterms:W3CDTF">2026-06-10T14:01:01Z</dcterms:modified>
</cp:coreProperties>
</file>