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</sheets>
  <calcPr calcId="171027" fullCalcOnLoad="1"/>
</workbook>
</file>

<file path=xl/sharedStrings.xml><?xml version="1.0" encoding="utf-8"?>
<sst xmlns="http://schemas.openxmlformats.org/spreadsheetml/2006/main" count="107" uniqueCount="103">
  <si>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</si>
  <si>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</si>
  <si>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</si>
  <si>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</si>
  <si>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</si>
  <si>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</si>
  <si>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</si>
  <si>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</si>
  <si>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</si>
  <si>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</si>
  <si>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</si>
  <si>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</si>
  <si>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</si>
  <si>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</si>
  <si>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</si>
  <si>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</si>
  <si>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</si>
  <si>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</si>
  <si>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</si>
  <si>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</si>
  <si>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</si>
  <si>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</si>
  <si>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</si>
  <si>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</si>
  <si>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</si>
  <si>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</si>
  <si>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</si>
  <si>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</si>
  <si>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</si>
  <si>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</si>
  <si>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</si>
  <si>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</si>
  <si>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</si>
  <si>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</si>
  <si>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JAL share of the dev co</t>
  </si>
  <si>
    <t>sweat equity — 30% of the dev-co 50% (~15% of profit)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</si>
  <si>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</si>
  <si>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</si>
  <si>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</si>
  <si>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</si>
  <si>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</si>
  <si>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</si>
  <si>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</si>
  <si>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</si>
  <si>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</si>
  <si>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</si>
  <si>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</si>
  <si>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</si>
  <si>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</si>
  <si>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</si>
  <si>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</si>
  <si>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</si>
  <si>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</si>
  <si>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</si>
  <si>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</si>
  <si>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</si>
  <si>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</si>
  <si>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</si>
  <si>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</si>
  <si>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</si>
  <si>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</si>
  <si>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</si>
  <si>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</si>
  <si>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</si>
  <si>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</si>
  <si>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</si>
  <si>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Accountable Equity / Capital H6 · Bob · JAL · partners</t>
  </si>
  <si>
    <t xml:space="preserve">    of which JAL (30% of dev co)</t>
  </si>
  <si>
    <t>the carry — sweat equity; separate from any placement fee or co-invest</t>
  </si>
  <si>
    <t xml:space="preserve">    + JAL retainer ($15K/mo × ~36 mo)</t>
  </si>
  <si>
    <t>a floor during the engagement (a deal cost)</t>
  </si>
  <si>
    <t xml:space="preserve">    = JAL all-in (illustrative)</t>
  </si>
  <si>
    <t>carry + retainer on the Queenstown base case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</si>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</sst>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1" spans="1:6" x14ac:dyDescent="0.25">
      <c r="A21" s="6" t="s">
        <v>34</v>
      </c>
      <c r="B21" s="11">
        <v>0.3</v>
      </c>
      <c r="C21" s="8" t="s">
        <v>35</v>
      </c>
      <c r="D21" s="8"/>
      <c r="E21" s="8"/>
      <c r="F21" s="8"/>
    </row>
    <row r="23" spans="1:6" x14ac:dyDescent="0.25">
      <c r="A23" s="4" t="s">
        <v>36</v>
      </c>
      <c r="B23" s="5"/>
      <c r="C23" s="5"/>
      <c r="D23" s="5"/>
      <c r="E23" s="5"/>
      <c r="F23" s="5"/>
    </row>
    <row r="24" spans="1:6" x14ac:dyDescent="0.25">
      <c r="A24" s="12" t="s">
        <v>37</v>
      </c>
      <c r="B24" s="7">
        <f>B5-B6-B7-B8</f>
        <v>140</v>
      </c>
      <c r="C24" s="8" t="s">
        <v>38</v>
      </c>
      <c r="D24" s="8"/>
      <c r="E24" s="8"/>
      <c r="F24" s="8"/>
    </row>
    <row r="25" spans="1:6" x14ac:dyDescent="0.25">
      <c r="A25" s="12" t="s">
        <v>39</v>
      </c>
      <c r="B25" s="13">
        <f>B24*B9</f>
        <v>280</v>
      </c>
      <c r="C25" s="8" t="s">
        <v>40</v>
      </c>
      <c r="D25" s="8"/>
      <c r="E25" s="8"/>
      <c r="F25" s="8"/>
    </row>
    <row r="27" spans="1:6" x14ac:dyDescent="0.25">
      <c r="A27" s="4" t="s">
        <v>41</v>
      </c>
      <c r="B27" s="5"/>
      <c r="C27" s="5"/>
      <c r="D27" s="5"/>
      <c r="E27" s="5"/>
      <c r="F27" s="5"/>
    </row>
    <row r="28" spans="1:6" x14ac:dyDescent="0.25">
      <c r="A28" s="12" t="s">
        <v>42</v>
      </c>
      <c r="B28" s="14">
        <f>B25*B10</f>
        <v>19600000</v>
      </c>
      <c r="C28" s="8" t="s">
        <v>43</v>
      </c>
      <c r="D28" s="8"/>
      <c r="E28" s="8"/>
      <c r="F28" s="8"/>
    </row>
    <row r="30" spans="1:6" x14ac:dyDescent="0.25">
      <c r="A30" s="4" t="s">
        <v>44</v>
      </c>
      <c r="B30" s="5"/>
      <c r="C30" s="5"/>
      <c r="D30" s="5"/>
      <c r="E30" s="5"/>
      <c r="F30" s="5"/>
    </row>
    <row r="31" spans="1:6" x14ac:dyDescent="0.25">
      <c r="A31" s="6" t="s">
        <v>45</v>
      </c>
      <c r="B31" s="10">
        <f>B28*B16</f>
        <v>588000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B11+B12+B13+B14+B15</f>
        <v>4000000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B32*B17</f>
        <v>400000</v>
      </c>
      <c r="C33" s="8" t="s">
        <v>50</v>
      </c>
      <c r="D33" s="8"/>
      <c r="E33" s="8"/>
      <c r="F33" s="8"/>
    </row>
    <row r="34" spans="1:6" x14ac:dyDescent="0.25">
      <c r="A34" s="6" t="s">
        <v>51</v>
      </c>
      <c r="B34" s="10">
        <f>B18</f>
        <v>300000</v>
      </c>
      <c r="C34" s="8" t="s">
        <v>29</v>
      </c>
      <c r="D34" s="8"/>
      <c r="E34" s="8"/>
      <c r="F34" s="8"/>
    </row>
    <row r="35" spans="1:6" x14ac:dyDescent="0.25">
      <c r="A35" s="15" t="s">
        <v>52</v>
      </c>
      <c r="B35" s="16">
        <f>B32+B31+B33+B34</f>
        <v>5288000</v>
      </c>
      <c r="C35" s="8" t="s">
        <v>53</v>
      </c>
      <c r="D35" s="8"/>
      <c r="E35" s="8"/>
      <c r="F35" s="8"/>
    </row>
    <row r="37" spans="1:6" x14ac:dyDescent="0.25">
      <c r="A37" s="4" t="s">
        <v>54</v>
      </c>
      <c r="B37" s="5"/>
      <c r="C37" s="5"/>
      <c r="D37" s="5"/>
      <c r="E37" s="5"/>
      <c r="F37" s="5"/>
    </row>
    <row r="38" spans="1:6" x14ac:dyDescent="0.25">
      <c r="A38" s="12" t="s">
        <v>55</v>
      </c>
      <c r="B38" s="14">
        <f>B28-B35</f>
        <v>14312000</v>
      </c>
      <c r="C38" s="8" t="s">
        <v>56</v>
      </c>
      <c r="D38" s="8"/>
      <c r="E38" s="8"/>
      <c r="F38" s="8"/>
    </row>
    <row r="39" spans="1:6" x14ac:dyDescent="0.25">
      <c r="A39" s="6" t="s">
        <v>57</v>
      </c>
      <c r="B39" s="11">
        <f>B38/B28</f>
        <v>0.730204081632653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7">
        <f>B38/B35</f>
        <v>2.706505295007564</v>
      </c>
      <c r="C40" s="8" t="s">
        <v>60</v>
      </c>
      <c r="D40" s="8"/>
      <c r="E40" s="8"/>
      <c r="F40" s="8"/>
    </row>
    <row r="41" spans="1:6" x14ac:dyDescent="0.25">
      <c r="A41" s="12" t="s">
        <v>61</v>
      </c>
      <c r="B41" s="10">
        <f>B38*B19</f>
        <v>7156000</v>
      </c>
      <c r="C41" s="8" t="s">
        <v>62</v>
      </c>
      <c r="D41" s="8"/>
      <c r="E41" s="8"/>
      <c r="F41" s="8"/>
    </row>
    <row r="42" spans="1:6" x14ac:dyDescent="0.25">
      <c r="A42" s="6" t="s">
        <v>63</v>
      </c>
      <c r="B42" s="10">
        <f>B41*B20</f>
        <v>3578000</v>
      </c>
      <c r="C42" s="8" t="s">
        <v>64</v>
      </c>
      <c r="D42" s="8"/>
      <c r="E42" s="8"/>
      <c r="F42" s="8"/>
    </row>
    <row r="43" spans="1:6" x14ac:dyDescent="0.25">
      <c r="A43" s="12" t="s">
        <v>65</v>
      </c>
      <c r="B43" s="14">
        <f>B38*(1-B19)</f>
        <v>7156000</v>
      </c>
      <c r="C43" s="8" t="s">
        <v>66</v>
      </c>
      <c r="D43" s="8"/>
      <c r="E43" s="8"/>
      <c r="F43" s="8"/>
    </row>
    <row r="44" spans="1:6" x14ac:dyDescent="0.25">
      <c r="A44" s="12" t="s">
        <v>67</v>
      </c>
      <c r="B44" s="10">
        <f>B43*B21</f>
        <v>2146800</v>
      </c>
      <c r="C44" s="8" t="s">
        <v>68</v>
      </c>
      <c r="D44" s="8"/>
      <c r="E44" s="8"/>
      <c r="F44" s="8"/>
    </row>
    <row r="45" spans="1:6" x14ac:dyDescent="0.25">
      <c r="A45" s="6" t="s">
        <v>69</v>
      </c>
      <c r="B45" s="10">
        <f>540000</f>
        <v>540000</v>
      </c>
      <c r="C45" s="8" t="s">
        <v>70</v>
      </c>
      <c r="D45" s="8"/>
      <c r="E45" s="8"/>
      <c r="F45" s="8"/>
    </row>
    <row r="46" spans="1:6" x14ac:dyDescent="0.25">
      <c r="A46" s="12" t="s">
        <v>71</v>
      </c>
      <c r="B46" s="14">
        <f>B44+B45</f>
        <v>2686800</v>
      </c>
      <c r="C46" s="8" t="s">
        <v>72</v>
      </c>
      <c r="D46" s="8"/>
      <c r="E46" s="8"/>
      <c r="F46" s="8"/>
    </row>
    <row r="48" spans="1:6" x14ac:dyDescent="0.25">
      <c r="A48" s="4" t="s">
        <v>73</v>
      </c>
      <c r="B48" s="5"/>
      <c r="C48" s="5"/>
      <c r="D48" s="5"/>
      <c r="E48" s="5"/>
      <c r="F48" s="5"/>
    </row>
    <row r="49" spans="1:6" x14ac:dyDescent="0.25">
      <c r="A49" s="18" t="s">
        <v>74</v>
      </c>
      <c r="B49" s="19" t="s">
        <v>75</v>
      </c>
      <c r="C49" s="19" t="s">
        <v>76</v>
      </c>
      <c r="D49" s="19" t="s">
        <v>77</v>
      </c>
      <c r="E49" s="19" t="s">
        <v>78</v>
      </c>
      <c r="F49" s="19" t="s">
        <v>79</v>
      </c>
    </row>
    <row r="50" spans="1:6" x14ac:dyDescent="0.25">
      <c r="A50" s="6" t="s">
        <v>80</v>
      </c>
      <c r="B50" s="20">
        <v>0</v>
      </c>
      <c r="C50" s="20">
        <v>0</v>
      </c>
      <c r="D50" s="20">
        <v>0.25</v>
      </c>
      <c r="E50" s="20">
        <v>0.4</v>
      </c>
      <c r="F50" s="20">
        <v>0.35</v>
      </c>
    </row>
    <row r="51" spans="1:6" x14ac:dyDescent="0.25">
      <c r="A51" s="6" t="s">
        <v>81</v>
      </c>
      <c r="B51" s="20">
        <v>0.3</v>
      </c>
      <c r="C51" s="20">
        <v>0.45</v>
      </c>
      <c r="D51" s="20">
        <v>0.18</v>
      </c>
      <c r="E51" s="20">
        <v>0.07</v>
      </c>
      <c r="F51" s="20">
        <v>0</v>
      </c>
    </row>
    <row r="52" spans="1:6" x14ac:dyDescent="0.25">
      <c r="A52" s="6" t="s">
        <v>82</v>
      </c>
      <c r="B52" s="21">
        <f>$B$28*B50</f>
        <v>0</v>
      </c>
      <c r="C52" s="21">
        <f>$B$28*C50</f>
        <v>0</v>
      </c>
      <c r="D52" s="21">
        <f>$B$28*D50</f>
        <v>4900000</v>
      </c>
      <c r="E52" s="21">
        <f>$B$28*E50</f>
        <v>7840000</v>
      </c>
      <c r="F52" s="21">
        <f>$B$28*F50</f>
        <v>6860000</v>
      </c>
    </row>
    <row r="53" spans="1:6" x14ac:dyDescent="0.25">
      <c r="A53" s="6" t="s">
        <v>83</v>
      </c>
      <c r="B53" s="21">
        <f>-$B$35*B51</f>
        <v>-1586400</v>
      </c>
      <c r="C53" s="21">
        <f>-$B$35*C51</f>
        <v>-2379600</v>
      </c>
      <c r="D53" s="21">
        <f>-$B$35*D51</f>
        <v>-951840</v>
      </c>
      <c r="E53" s="21">
        <f>-$B$35*E51</f>
        <v>-370160.00000000006</v>
      </c>
      <c r="F53" s="21">
        <f>-$B$35*F51</f>
        <v>0</v>
      </c>
    </row>
    <row r="54" spans="1:6" x14ac:dyDescent="0.25">
      <c r="A54" s="12" t="s">
        <v>84</v>
      </c>
      <c r="B54" s="14">
        <f>B52+B53</f>
        <v>-1586400</v>
      </c>
      <c r="C54" s="14">
        <f>C52+C53</f>
        <v>-2379600</v>
      </c>
      <c r="D54" s="14">
        <f>D52+D53</f>
        <v>3948160</v>
      </c>
      <c r="E54" s="14">
        <f>E52+E53</f>
        <v>7469840</v>
      </c>
      <c r="F54" s="14">
        <f>F52+F53</f>
        <v>6860000</v>
      </c>
    </row>
    <row r="55" spans="1:6" x14ac:dyDescent="0.25">
      <c r="A55" s="12" t="s">
        <v>85</v>
      </c>
      <c r="B55" s="22">
        <f>IRR(B54:F54)</f>
        <v>0.8626036987758889</v>
      </c>
      <c r="C55" s="8" t="s">
        <v>86</v>
      </c>
      <c r="D55" s="8"/>
      <c r="E55" s="8"/>
      <c r="F55" s="8"/>
    </row>
    <row r="57" spans="1:6" x14ac:dyDescent="0.25">
      <c r="A57" s="4" t="s">
        <v>87</v>
      </c>
      <c r="B57" s="5"/>
      <c r="C57" s="5"/>
      <c r="D57" s="5"/>
      <c r="E57" s="5"/>
      <c r="F57" s="5"/>
    </row>
    <row r="58" spans="1:3" x14ac:dyDescent="0.25">
      <c r="A58" s="23" t="s">
        <v>88</v>
      </c>
      <c r="B58" s="24" t="s">
        <v>39</v>
      </c>
      <c r="C58" s="24" t="s">
        <v>89</v>
      </c>
    </row>
    <row r="59" spans="1:3" x14ac:dyDescent="0.25">
      <c r="A59" s="6" t="s">
        <v>90</v>
      </c>
      <c r="B59" s="14">
        <v>19600000</v>
      </c>
      <c r="C59" s="21">
        <v>42000000</v>
      </c>
    </row>
    <row r="60" spans="1:3" x14ac:dyDescent="0.25">
      <c r="A60" s="6" t="s">
        <v>91</v>
      </c>
      <c r="B60" s="14">
        <v>5288000</v>
      </c>
      <c r="C60" s="21">
        <v>24636000</v>
      </c>
    </row>
    <row r="61" spans="1:3" x14ac:dyDescent="0.25">
      <c r="A61" s="6" t="s">
        <v>55</v>
      </c>
      <c r="B61" s="14">
        <v>14312000</v>
      </c>
      <c r="C61" s="21">
        <v>17364000</v>
      </c>
    </row>
    <row r="62" spans="1:3" x14ac:dyDescent="0.25">
      <c r="A62" s="6" t="s">
        <v>59</v>
      </c>
      <c r="B62" s="17">
        <v>2.706505295007564</v>
      </c>
      <c r="C62" s="25">
        <v>0.7048222113979542</v>
      </c>
    </row>
    <row r="63" spans="1:6" x14ac:dyDescent="0.25">
      <c r="A63" s="8" t="s">
        <v>92</v>
      </c>
      <c r="B63" s="8"/>
      <c r="C63" s="8"/>
      <c r="D63" s="8"/>
      <c r="E63" s="8"/>
      <c r="F63" s="8"/>
    </row>
    <row r="65" spans="1:6" x14ac:dyDescent="0.25">
      <c r="A65" s="4" t="s">
        <v>93</v>
      </c>
      <c r="B65" s="5"/>
      <c r="C65" s="5"/>
      <c r="D65" s="5"/>
      <c r="E65" s="5"/>
      <c r="F65" s="5"/>
    </row>
    <row r="66" spans="1:4" x14ac:dyDescent="0.25">
      <c r="A66" s="26" t="s">
        <v>94</v>
      </c>
      <c r="B66" s="27" t="s">
        <v>95</v>
      </c>
      <c r="C66" s="27" t="s">
        <v>96</v>
      </c>
      <c r="D66" s="27" t="s">
        <v>97</v>
      </c>
    </row>
    <row r="67" spans="1:4" x14ac:dyDescent="0.25">
      <c r="A67" s="28" t="s">
        <v>98</v>
      </c>
      <c r="B67" s="29">
        <v>8.104</v>
      </c>
      <c r="C67" s="29">
        <v>10.238</v>
      </c>
      <c r="D67" s="29">
        <v>12.372</v>
      </c>
    </row>
    <row r="68" spans="1:4" x14ac:dyDescent="0.25">
      <c r="A68" s="28" t="s">
        <v>99</v>
      </c>
      <c r="B68" s="29">
        <v>11.596</v>
      </c>
      <c r="C68" s="30">
        <v>14.312</v>
      </c>
      <c r="D68" s="29">
        <v>17.028</v>
      </c>
    </row>
    <row r="69" spans="1:4" x14ac:dyDescent="0.25">
      <c r="A69" s="28" t="s">
        <v>100</v>
      </c>
      <c r="B69" s="29">
        <v>15.088</v>
      </c>
      <c r="C69" s="29">
        <v>18.386</v>
      </c>
      <c r="D69" s="29">
        <v>21.684</v>
      </c>
    </row>
    <row r="70" spans="1:6" x14ac:dyDescent="0.25">
      <c r="A70" s="8" t="s">
        <v>101</v>
      </c>
      <c r="B70" s="8"/>
      <c r="C70" s="8"/>
      <c r="D70" s="8"/>
      <c r="E70" s="8"/>
      <c r="F70" s="8"/>
    </row>
    <row r="72" ht="42" customHeight="1" spans="1:6" x14ac:dyDescent="0.25">
      <c r="A72" s="31" t="s">
        <v>102</v>
      </c>
      <c r="B72" s="31"/>
      <c r="C72" s="31"/>
      <c r="D72" s="31"/>
      <c r="E72" s="31"/>
      <c r="F72" s="31"/>
    </row>
  </sheetData>
  <mergeCells count="38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1:F21"/>
    <mergeCell ref="C24:F24"/>
    <mergeCell ref="C25:F25"/>
    <mergeCell ref="C28:F28"/>
    <mergeCell ref="C31:F31"/>
    <mergeCell ref="C32:F32"/>
    <mergeCell ref="C33:F33"/>
    <mergeCell ref="C34:F34"/>
    <mergeCell ref="C35:F35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55:F55"/>
    <mergeCell ref="A63:F63"/>
    <mergeCell ref="A70:F70"/>
    <mergeCell ref="A72:F7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Entitled-Lot Model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2026-06-10T17:18:01Z</dcterms:created>
  <dcterms:modified xsi:type="dcterms:W3CDTF">2026-06-10T17:18:01Z</dcterms:modified>
</cp:coreProperties>
</file>